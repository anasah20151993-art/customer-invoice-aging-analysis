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Anas Personal\study\Account receivable\"/>
    </mc:Choice>
  </mc:AlternateContent>
  <xr:revisionPtr revIDLastSave="0" documentId="13_ncr:1_{7D22FE69-200C-4D5B-BD93-7D19A220CA1A}" xr6:coauthVersionLast="47" xr6:coauthVersionMax="47" xr10:uidLastSave="{00000000-0000-0000-0000-000000000000}"/>
  <bookViews>
    <workbookView xWindow="-108" yWindow="-108" windowWidth="23256" windowHeight="13896" activeTab="2" xr2:uid="{00000000-000D-0000-FFFF-FFFF00000000}"/>
  </bookViews>
  <sheets>
    <sheet name="Intro" sheetId="4" r:id="rId1"/>
    <sheet name="Dash Board" sheetId="3" r:id="rId2"/>
    <sheet name="Aging Summary" sheetId="2" r:id="rId3"/>
  </sheets>
  <definedNames>
    <definedName name="Slicer_Customer">#N/A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ales Commission Cryolite_1c971787-e240-48ca-bcb6-9a480c988618" name="Sales Commission Cryolite" connection="Excel invoice Oct25-Dec25 with calculation of Commission &amp; sales"/>
          <x15:modelTable id="Sales Commission Others_4ba7795b-c91a-485c-8e49-f3d288692e93" name="Sales Commission Others" connection="Excel invoice Oct25-Dec25 with calculation of Commission &amp; sale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4" i="2" l="1"/>
  <c r="H5" i="2"/>
  <c r="H6" i="2"/>
  <c r="H7" i="2"/>
  <c r="H8" i="2"/>
  <c r="H9" i="2"/>
  <c r="H3" i="2"/>
  <c r="G3" i="2"/>
  <c r="G4" i="2"/>
  <c r="G5" i="2"/>
  <c r="G6" i="2"/>
  <c r="G7" i="2"/>
  <c r="G8" i="2"/>
  <c r="G9" i="2"/>
  <c r="I4" i="2" l="1"/>
  <c r="I5" i="2"/>
  <c r="I6" i="2"/>
  <c r="I7" i="2"/>
  <c r="I8" i="2"/>
  <c r="I9" i="2"/>
  <c r="I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F785B0D-A7FB-4FC7-9F61-928ACE54937D}" name="Excel invoice Oct25-Dec25 with calculation of Commission &amp; sales" type="100" refreshedVersion="0">
    <extLst>
      <ext xmlns:x15="http://schemas.microsoft.com/office/spreadsheetml/2010/11/main" uri="{DE250136-89BD-433C-8126-D09CA5730AF9}">
        <x15:connection id="f9e1d466-f900-42c9-b55d-a6b20d5c06db"/>
      </ext>
    </extLst>
  </connection>
  <connection id="2" xr16:uid="{9B0CA766-F480-4838-9615-270FB61B677A}"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<sst xmlns="http://schemas.openxmlformats.org/spreadsheetml/2006/main" count="89" uniqueCount="68">
  <si>
    <t>Customer</t>
  </si>
  <si>
    <t>Saudi Basic Industries Corporation SABIC - SSL01</t>
  </si>
  <si>
    <t>Transaction Type</t>
  </si>
  <si>
    <t>Transaction Serial</t>
  </si>
  <si>
    <t>Transaction Date</t>
  </si>
  <si>
    <t>Total</t>
  </si>
  <si>
    <t>Paid Amount</t>
  </si>
  <si>
    <t>Remaining</t>
  </si>
  <si>
    <t>Invoice</t>
  </si>
  <si>
    <t>SAUDI GRINDING &amp; POLISHING Co. - SGC01</t>
  </si>
  <si>
    <t>SAUDI VETONIT CO.LTD. - SAV02</t>
  </si>
  <si>
    <t>Aging Bucket</t>
  </si>
  <si>
    <t>Grand Total</t>
  </si>
  <si>
    <t>Aging DAY</t>
  </si>
  <si>
    <t>0–30</t>
  </si>
  <si>
    <t>Amount</t>
  </si>
  <si>
    <t>Invoice Number</t>
  </si>
  <si>
    <t>91 &gt;</t>
  </si>
  <si>
    <t>Debit Aging Report</t>
  </si>
  <si>
    <t>30-60</t>
  </si>
  <si>
    <t>60-90</t>
  </si>
  <si>
    <t>Customer Invoice Aging Analysis</t>
  </si>
  <si>
    <t>📊 Project Overview</t>
  </si>
  <si>
    <r>
      <t xml:space="preserve">This project is an Excel-based </t>
    </r>
    <r>
      <rPr>
        <b/>
        <sz val="11"/>
        <color theme="1"/>
        <rFont val="Calibri"/>
        <family val="2"/>
        <scheme val="minor"/>
      </rPr>
      <t>Customer Invoice Aging Analysis</t>
    </r>
    <r>
      <rPr>
        <sz val="11"/>
        <color theme="1"/>
        <rFont val="Calibri"/>
        <family val="2"/>
        <scheme val="minor"/>
      </rPr>
      <t xml:space="preserve"> designed to monitor outstanding customer balances and identify overdue invoices.</t>
    </r>
  </si>
  <si>
    <t>The report organizes customer invoice balances into aging categories based on the number of days outstanding:</t>
  </si>
  <si>
    <t>0–30 Days</t>
  </si>
  <si>
    <t>31–60 Days</t>
  </si>
  <si>
    <t>61–90 Days</t>
  </si>
  <si>
    <t>91+ Days</t>
  </si>
  <si>
    <t>This analysis helps businesses monitor accounts receivable, prioritize collections, and improve cash-flow management.</t>
  </si>
  <si>
    <t>🎯 Business Objective</t>
  </si>
  <si>
    <t>The main objective of this project is to provide a clear view of outstanding customer invoices and answer questions such as:</t>
  </si>
  <si>
    <t>Which customers have the highest outstanding balances?</t>
  </si>
  <si>
    <t>Which invoices are overdue?</t>
  </si>
  <si>
    <t>How much of the total balance falls into each aging category?</t>
  </si>
  <si>
    <t>Which customer accounts should be prioritized for collection?</t>
  </si>
  <si>
    <t>📁 Project Files</t>
  </si>
  <si>
    <r>
      <t>Customer Invoice Aging Analysis.xlsx</t>
    </r>
    <r>
      <rPr>
        <sz val="11"/>
        <color theme="1"/>
        <rFont val="Calibri"/>
        <family val="2"/>
        <scheme val="minor"/>
      </rPr>
      <t xml:space="preserve"> — Main Excel workbook containing the aging report and analysis.</t>
    </r>
  </si>
  <si>
    <r>
      <t>Screenshots/</t>
    </r>
    <r>
      <rPr>
        <sz val="11"/>
        <color theme="1"/>
        <rFont val="Calibri"/>
        <family val="2"/>
        <scheme val="minor"/>
      </rPr>
      <t xml:space="preserve"> — Images showing the report, dashboard, and key analysis.</t>
    </r>
  </si>
  <si>
    <t>🛠️ Skills Demonstrated</t>
  </si>
  <si>
    <t>Microsoft Excel</t>
  </si>
  <si>
    <t>Data Analysis</t>
  </si>
  <si>
    <t>Accounts Receivable Analysis</t>
  </si>
  <si>
    <t>Financial Reporting</t>
  </si>
  <si>
    <t>Invoice Aging</t>
  </si>
  <si>
    <t>PivotTables</t>
  </si>
  <si>
    <t>Data Organization and Cleaning</t>
  </si>
  <si>
    <t>Business Analysis</t>
  </si>
  <si>
    <t>📈 Key Features</t>
  </si>
  <si>
    <t>Customer-level outstanding balance analysis</t>
  </si>
  <si>
    <t>Invoice and transaction tracking</t>
  </si>
  <si>
    <t>Aging classification</t>
  </si>
  <si>
    <t>Overdue balance identification</t>
  </si>
  <si>
    <t>Summary reporting</t>
  </si>
  <si>
    <t>PivotTable-based analysis</t>
  </si>
  <si>
    <t>Visual reporting and charts</t>
  </si>
  <si>
    <t>💡 Business Value</t>
  </si>
  <si>
    <t>The report can help finance and operations teams identify overdue receivables and focus collection efforts on high-risk or long-outstanding balances.</t>
  </si>
  <si>
    <t>By providing a structured view of receivables, the analysis supports better decision-making related to:</t>
  </si>
  <si>
    <t>Cash-flow monitoring</t>
  </si>
  <si>
    <t>Collection prioritization</t>
  </si>
  <si>
    <t>Customer credit monitoring</t>
  </si>
  <si>
    <t>Accounts receivable management</t>
  </si>
  <si>
    <t>👤 Author</t>
  </si>
  <si>
    <t>Anas Ahmad</t>
  </si>
  <si>
    <t>Aspiring Business, Operations, and Data Analyst with experience and interest in accounting, Excel, ERP systems, financial analysis, and business operations.</t>
  </si>
  <si>
    <t>📌 Portfolio</t>
  </si>
  <si>
    <r>
      <t xml:space="preserve">This project is part of my portfolio demonstrating practical skills in </t>
    </r>
    <r>
      <rPr>
        <b/>
        <sz val="11"/>
        <color theme="1"/>
        <rFont val="Calibri"/>
        <family val="2"/>
        <scheme val="minor"/>
      </rPr>
      <t>Excel, financial analysis, reporting, and business data analysis</t>
    </r>
    <r>
      <rPr>
        <sz val="11"/>
        <color theme="1"/>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</si>
</sst>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6" formatCode="_(* #,##0_);_(* \(#,##0\);_(* &quot;-&quot;??_);_(@_)"/>
    <numFmt numFmtId="167" formatCode="[$SAR]\ #,##0_);\([$SAR]\ #,##0\)"/>
  </numFmts>
  <fonts count="11" x14ac:knownFonts="1">
    <font>
      <sz val="11"/>
      <color theme="1"/>
      <name val="Calibri"/>
      <family val="2"/>
      <scheme val="minor"/>
    </font>
    <font>
      <sz val="9.75"/>
      <color rgb="FF000000"/>
      <name val="Tahoma"/>
    </font>
    <font>
      <sz val="11"/>
      <color theme="1"/>
      <name val="Calibri"/>
      <family val="2"/>
      <scheme val="minor"/>
    </font>
    <font>
      <sz val="9.75"/>
      <color rgb="FF000000"/>
      <name val="Tahoma"/>
      <family val="2"/>
    </font>
    <font>
      <b/>
      <sz val="11"/>
      <color theme="1"/>
      <name val="Calibri"/>
      <family val="2"/>
      <scheme val="minor"/>
    </font>
    <font>
      <sz val="11"/>
      <color theme="0"/>
      <name val="Calibri"/>
      <family val="2"/>
      <scheme val="minor"/>
    </font>
    <font>
      <sz val="11"/>
      <color rgb="FF000000"/>
      <name val="Times New Roman"/>
      <family val="1"/>
    </font>
    <font>
      <sz val="11"/>
      <color theme="1"/>
      <name val="Times New Roman"/>
      <family val="1"/>
    </font>
    <font>
      <sz val="22"/>
      <color theme="1"/>
      <name val="Times New Roman"/>
      <family val="1"/>
    </font>
    <font>
      <b/>
      <sz val="24"/>
      <color theme="1"/>
      <name val="Calibri"/>
      <family val="2"/>
      <scheme val="minor"/>
    </font>
    <font>
      <b/>
      <sz val="18"/>
      <color theme="1"/>
      <name val="Calibri"/>
      <family val="2"/>
      <scheme val="minor"/>
    </font>
  </fonts>
  <fills count="11">
    <fill>
      <patternFill patternType="none"/>
    </fill>
    <fill>
      <patternFill patternType="gray125"/>
    </fill>
    <fill>
      <patternFill patternType="solid">
        <fgColor rgb="FFC0C0C0"/>
      </patternFill>
    </fill>
    <fill>
      <patternFill patternType="solid">
        <fgColor theme="9" tint="0.79998168889431442"/>
        <bgColor indexed="64"/>
      </patternFill>
    </fill>
    <fill>
      <patternFill patternType="solid">
        <fgColor rgb="FFFF0000"/>
        <bgColor indexed="64"/>
      </patternFill>
    </fill>
    <fill>
      <patternFill patternType="solid">
        <fgColor theme="7" tint="-0.499984740745262"/>
        <bgColor indexed="64"/>
      </patternFill>
    </fill>
    <fill>
      <patternFill patternType="solid">
        <fgColor theme="2" tint="-0.749992370372631"/>
        <bgColor indexed="64"/>
      </patternFill>
    </fill>
    <fill>
      <patternFill patternType="solid">
        <fgColor theme="9" tint="0.59999389629810485"/>
        <bgColor indexed="64"/>
      </patternFill>
    </fill>
    <fill>
      <patternFill patternType="solid">
        <fgColor theme="9" tint="0.59999389629810485"/>
        <bgColor theme="9" tint="0.79998168889431442"/>
      </patternFill>
    </fill>
    <fill>
      <patternFill patternType="solid">
        <fgColor rgb="FFFFFF00"/>
        <bgColor indexed="64"/>
      </patternFill>
    </fill>
    <fill>
      <patternFill patternType="solid">
        <fgColor rgb="FFFFC000"/>
        <bgColor indexed="64"/>
      </patternFill>
    </fill>
  </fills>
  <borders count="19">
    <border>
      <left/>
      <right/>
      <top/>
      <bottom/>
      <diagonal/>
    </border>
    <border>
      <left style="thin">
        <color rgb="FF808080"/>
      </left>
      <right style="thin">
        <color rgb="FF808080"/>
      </right>
      <top style="thin">
        <color rgb="FF808080"/>
      </top>
      <bottom style="thin">
        <color rgb="FF808080"/>
      </bottom>
      <diagonal/>
    </border>
    <border>
      <left/>
      <right style="thin">
        <color rgb="FF808080"/>
      </right>
      <top style="thin">
        <color rgb="FF808080"/>
      </top>
      <bottom style="thin">
        <color rgb="FF80808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2">
    <xf numFmtId="0" fontId="0" fillId="0" borderId="0"/>
    <xf numFmtId="43" fontId="2" fillId="0" borderId="0" applyFont="0" applyFill="0" applyBorder="0" applyAlignment="0" applyProtection="0"/>
  </cellStyleXfs>
  <cellXfs count="56">
    <xf numFmtId="0" fontId="0" fillId="0" borderId="0" xfId="0"/>
    <xf numFmtId="14" fontId="0" fillId="0" borderId="0" xfId="0" applyNumberFormat="1"/>
    <xf numFmtId="4" fontId="0" fillId="0" borderId="0" xfId="0" applyNumberFormat="1"/>
    <xf numFmtId="0" fontId="1" fillId="2" borderId="3" xfId="0" applyFont="1" applyFill="1" applyBorder="1" applyAlignment="1">
      <alignment vertical="center" shrinkToFit="1" readingOrder="1"/>
    </xf>
    <xf numFmtId="0" fontId="1" fillId="2" borderId="4" xfId="0" applyFont="1" applyFill="1" applyBorder="1" applyAlignment="1">
      <alignment horizontal="center" vertical="center" shrinkToFit="1" readingOrder="1"/>
    </xf>
    <xf numFmtId="0" fontId="3" fillId="2" borderId="3" xfId="0" applyFont="1" applyFill="1" applyBorder="1" applyAlignment="1">
      <alignment vertical="center" shrinkToFit="1" readingOrder="1"/>
    </xf>
    <xf numFmtId="166" fontId="6" fillId="0" borderId="2" xfId="1" applyNumberFormat="1" applyFont="1" applyBorder="1" applyAlignment="1">
      <alignment vertical="top" shrinkToFit="1" readingOrder="1"/>
    </xf>
    <xf numFmtId="0" fontId="6" fillId="0" borderId="2" xfId="1" applyNumberFormat="1" applyFont="1" applyBorder="1" applyAlignment="1">
      <alignment horizontal="right" vertical="top" shrinkToFit="1" readingOrder="1"/>
    </xf>
    <xf numFmtId="49" fontId="6" fillId="0" borderId="2" xfId="0" applyNumberFormat="1" applyFont="1" applyBorder="1" applyAlignment="1">
      <alignment vertical="top" shrinkToFit="1" readingOrder="1"/>
    </xf>
    <xf numFmtId="49" fontId="6" fillId="0" borderId="1" xfId="0" applyNumberFormat="1" applyFont="1" applyBorder="1" applyAlignment="1">
      <alignment horizontal="left" vertical="top" shrinkToFit="1" readingOrder="1"/>
    </xf>
    <xf numFmtId="0" fontId="6" fillId="0" borderId="2" xfId="0" applyFont="1" applyBorder="1" applyAlignment="1">
      <alignment vertical="top" shrinkToFit="1" readingOrder="1"/>
    </xf>
    <xf numFmtId="3" fontId="7" fillId="0" borderId="0" xfId="1" applyNumberFormat="1" applyFont="1"/>
    <xf numFmtId="0" fontId="7" fillId="0" borderId="0" xfId="0" applyFont="1" applyAlignment="1">
      <alignment vertical="center"/>
    </xf>
    <xf numFmtId="167" fontId="0" fillId="4" borderId="7" xfId="0" applyNumberFormat="1" applyFill="1" applyBorder="1"/>
    <xf numFmtId="167" fontId="0" fillId="3" borderId="6" xfId="0" applyNumberFormat="1" applyFill="1" applyBorder="1"/>
    <xf numFmtId="167" fontId="0" fillId="3" borderId="11" xfId="0" applyNumberFormat="1" applyFill="1" applyBorder="1"/>
    <xf numFmtId="0" fontId="0" fillId="7" borderId="13" xfId="0" applyFill="1" applyBorder="1"/>
    <xf numFmtId="0" fontId="0" fillId="7" borderId="15" xfId="0" applyFill="1" applyBorder="1"/>
    <xf numFmtId="0" fontId="0" fillId="7" borderId="14" xfId="0" applyFill="1" applyBorder="1"/>
    <xf numFmtId="0" fontId="0" fillId="7" borderId="5" xfId="0" applyFill="1" applyBorder="1"/>
    <xf numFmtId="0" fontId="0" fillId="7" borderId="11" xfId="0" applyFill="1" applyBorder="1"/>
    <xf numFmtId="4" fontId="0" fillId="8" borderId="13" xfId="0" applyNumberFormat="1" applyFill="1" applyBorder="1" applyAlignment="1">
      <alignment horizontal="center"/>
    </xf>
    <xf numFmtId="0" fontId="0" fillId="7" borderId="14" xfId="0" applyFill="1" applyBorder="1" applyAlignment="1">
      <alignment horizontal="center"/>
    </xf>
    <xf numFmtId="167" fontId="4" fillId="7" borderId="16" xfId="0" applyNumberFormat="1" applyFont="1" applyFill="1" applyBorder="1"/>
    <xf numFmtId="167" fontId="4" fillId="7" borderId="17" xfId="0" applyNumberFormat="1" applyFont="1" applyFill="1" applyBorder="1"/>
    <xf numFmtId="167" fontId="4" fillId="7" borderId="10" xfId="0" applyNumberFormat="1" applyFont="1" applyFill="1" applyBorder="1"/>
    <xf numFmtId="167" fontId="0" fillId="7" borderId="8" xfId="0" applyNumberFormat="1" applyFill="1" applyBorder="1"/>
    <xf numFmtId="14" fontId="0" fillId="7" borderId="13" xfId="0" applyNumberFormat="1" applyFill="1" applyBorder="1"/>
    <xf numFmtId="167" fontId="0" fillId="7" borderId="9" xfId="0" applyNumberFormat="1" applyFill="1" applyBorder="1"/>
    <xf numFmtId="0" fontId="0" fillId="7" borderId="0" xfId="0" applyFill="1"/>
    <xf numFmtId="0" fontId="0" fillId="7" borderId="12" xfId="0" applyFill="1" applyBorder="1"/>
    <xf numFmtId="0" fontId="0" fillId="7" borderId="8" xfId="0" applyFill="1" applyBorder="1"/>
    <xf numFmtId="0" fontId="0" fillId="7" borderId="9" xfId="0" applyFill="1" applyBorder="1"/>
    <xf numFmtId="0" fontId="0" fillId="7" borderId="10" xfId="0" applyFill="1" applyBorder="1"/>
    <xf numFmtId="14" fontId="5" fillId="6" borderId="16" xfId="0" applyNumberFormat="1" applyFont="1" applyFill="1" applyBorder="1"/>
    <xf numFmtId="14" fontId="5" fillId="6" borderId="17" xfId="0" applyNumberFormat="1" applyFont="1" applyFill="1" applyBorder="1"/>
    <xf numFmtId="0" fontId="5" fillId="6" borderId="5" xfId="0" applyFont="1" applyFill="1" applyBorder="1"/>
    <xf numFmtId="0" fontId="0" fillId="7" borderId="5" xfId="0" applyFill="1" applyBorder="1" applyAlignment="1">
      <alignment horizontal="right"/>
    </xf>
    <xf numFmtId="4" fontId="4" fillId="8" borderId="5" xfId="0" applyNumberFormat="1" applyFont="1" applyFill="1" applyBorder="1"/>
    <xf numFmtId="167" fontId="0" fillId="9" borderId="7" xfId="0" applyNumberFormat="1" applyFill="1" applyBorder="1"/>
    <xf numFmtId="167" fontId="0" fillId="10" borderId="7" xfId="0" applyNumberFormat="1" applyFill="1" applyBorder="1"/>
    <xf numFmtId="14" fontId="5" fillId="6" borderId="18" xfId="0" applyNumberFormat="1" applyFont="1" applyFill="1" applyBorder="1"/>
    <xf numFmtId="4" fontId="0" fillId="8" borderId="15" xfId="0" applyNumberFormat="1" applyFill="1" applyBorder="1" applyAlignment="1">
      <alignment horizontal="center"/>
    </xf>
    <xf numFmtId="167" fontId="4" fillId="7" borderId="18" xfId="0" applyNumberFormat="1" applyFont="1" applyFill="1" applyBorder="1"/>
    <xf numFmtId="167" fontId="0" fillId="4" borderId="0" xfId="0" applyNumberFormat="1" applyFill="1"/>
    <xf numFmtId="167" fontId="0" fillId="9" borderId="0" xfId="0" applyNumberFormat="1" applyFill="1"/>
    <xf numFmtId="167" fontId="0" fillId="10" borderId="0" xfId="0" applyNumberFormat="1" applyFill="1"/>
    <xf numFmtId="0" fontId="9" fillId="0" borderId="0" xfId="0" applyFont="1" applyAlignment="1">
      <alignment vertical="center"/>
    </xf>
    <xf numFmtId="0" fontId="10" fillId="0" borderId="0" xfId="0" applyFont="1" applyAlignment="1">
      <alignment vertical="center"/>
    </xf>
    <xf numFmtId="0" fontId="0" fillId="0" borderId="0" xfId="0" applyAlignment="1">
      <alignment horizontal="left" vertical="center" indent="1"/>
    </xf>
    <xf numFmtId="0" fontId="4" fillId="0" borderId="0" xfId="0" applyFont="1"/>
    <xf numFmtId="0" fontId="4" fillId="0" borderId="0" xfId="0" applyFont="1" applyAlignment="1">
      <alignment horizontal="left" vertical="center" indent="1"/>
    </xf>
    <xf numFmtId="15" fontId="6" fillId="0" borderId="2" xfId="0" applyNumberFormat="1" applyFont="1" applyBorder="1" applyAlignment="1">
      <alignment vertical="top" shrinkToFit="1" readingOrder="1"/>
    </xf>
    <xf numFmtId="0" fontId="8" fillId="5" borderId="13" xfId="0" applyFont="1" applyFill="1" applyBorder="1" applyAlignment="1">
      <alignment horizontal="center"/>
    </xf>
    <xf numFmtId="0" fontId="8" fillId="5" borderId="15" xfId="0" applyFont="1" applyFill="1" applyBorder="1" applyAlignment="1">
      <alignment horizontal="center"/>
    </xf>
    <xf numFmtId="0" fontId="8" fillId="5" borderId="14" xfId="0" applyFont="1" applyFill="1" applyBorder="1" applyAlignment="1">
      <alignment horizontal="center"/>
    </xf>
  </cellXfs>
  <cellStyles count="2">
    <cellStyle name="Comma" xfId="1" builtinId="3"/>
    <cellStyle name="Normal" xfId="0" builtinId="0"/>
  </cellStyles>
  <dxfs count="131">
    <dxf>
      <fill>
        <patternFill>
          <bgColor theme="9" tint="0.59999389629810485"/>
        </patternFill>
      </fill>
    </dxf>
    <dxf>
      <fill>
        <patternFill>
          <bgColor theme="9" tint="0.59999389629810485"/>
        </patternFill>
      </fill>
    </dxf>
    <dxf>
      <fill>
        <patternFill patternType="solid">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2" tint="-0.749992370372631"/>
        </patternFill>
      </fill>
    </dxf>
    <dxf>
      <fill>
        <patternFill>
          <bgColor theme="2" tint="-0.749992370372631"/>
        </patternFill>
      </fill>
    </dxf>
    <dxf>
      <fill>
        <patternFill>
          <bgColor theme="2" tint="-0.749992370372631"/>
        </patternFill>
      </fill>
    </dxf>
    <dxf>
      <fill>
        <patternFill>
          <bgColor theme="2" tint="-0.749992370372631"/>
        </patternFill>
      </fill>
    </dxf>
    <dxf>
      <fill>
        <patternFill>
          <bgColor theme="2" tint="-0.749992370372631"/>
        </patternFill>
      </fill>
    </dxf>
    <dxf>
      <fill>
        <patternFill>
          <bgColor theme="2" tint="-0.749992370372631"/>
        </patternFill>
      </fill>
    </dxf>
    <dxf>
      <fill>
        <patternFill>
          <bgColor theme="2" tint="-0.749992370372631"/>
        </patternFill>
      </fill>
    </dxf>
    <dxf>
      <fill>
        <patternFill>
          <bgColor theme="2" tint="-0.749992370372631"/>
        </patternFill>
      </fill>
    </dxf>
    <dxf>
      <fill>
        <patternFill>
          <bgColor theme="2" tint="-0.749992370372631"/>
        </patternFill>
      </fill>
    </dxf>
    <dxf>
      <fill>
        <patternFill>
          <bgColor theme="2" tint="-0.749992370372631"/>
        </patternFill>
      </fill>
    </dxf>
    <dxf>
      <fill>
        <patternFill>
          <bgColor theme="2" tint="-0.749992370372631"/>
        </patternFill>
      </fill>
    </dxf>
    <dxf>
      <fill>
        <patternFill>
          <bgColor theme="2" tint="-0.749992370372631"/>
        </patternFill>
      </fill>
    </dxf>
    <dxf>
      <fill>
        <patternFill>
          <bgColor theme="2" tint="-0.749992370372631"/>
        </patternFill>
      </fill>
    </dxf>
    <dxf>
      <fill>
        <patternFill>
          <bgColor theme="2" tint="-0.749992370372631"/>
        </patternFill>
      </fill>
    </dxf>
    <dxf>
      <fill>
        <patternFill>
          <bgColor theme="2" tint="-0.749992370372631"/>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border>
        <left style="medium">
          <color indexed="64"/>
        </left>
        <bottom style="medium">
          <color indexed="64"/>
        </bottom>
      </border>
    </dxf>
    <dxf>
      <fill>
        <patternFill patternType="solid">
          <bgColor rgb="FFFF0000"/>
        </patternFill>
      </fill>
    </dxf>
    <dxf>
      <fill>
        <patternFill>
          <bgColor rgb="FFFFC000"/>
        </patternFill>
      </fill>
    </dxf>
    <dxf>
      <fill>
        <patternFill>
          <bgColor rgb="FFFFFF00"/>
        </patternFill>
      </fill>
    </dxf>
    <dxf>
      <fill>
        <patternFill>
          <bgColor theme="9" tint="0.79998168889431442"/>
        </patternFill>
      </fill>
    </dxf>
    <dxf>
      <fill>
        <patternFill>
          <bgColor theme="9" tint="0.79998168889431442"/>
        </patternFill>
      </fill>
    </dxf>
    <dxf>
      <numFmt numFmtId="4" formatCode="#,##0.00"/>
      <fill>
        <patternFill>
          <fgColor theme="9" tint="0.79998168889431442"/>
        </patternFill>
      </fill>
    </dxf>
    <dxf>
      <numFmt numFmtId="4" formatCode="#,##0.00"/>
      <fill>
        <patternFill>
          <fgColor theme="9" tint="0.79998168889431442"/>
        </patternFill>
      </fill>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font>
        <b/>
      </font>
    </dxf>
    <dxf>
      <font>
        <b/>
      </font>
    </dxf>
    <dxf>
      <fill>
        <patternFill patternType="solid">
          <bgColor rgb="FFFF0000"/>
        </patternFill>
      </fill>
    </dxf>
    <dxf>
      <fill>
        <patternFill patternType="solid">
          <bgColor rgb="FFFF0000"/>
        </patternFill>
      </fill>
    </dxf>
    <dxf>
      <fill>
        <patternFill patternType="solid">
          <bgColor theme="7" tint="0.79998168889431442"/>
        </patternFill>
      </fill>
    </dxf>
    <dxf>
      <fill>
        <patternFill patternType="solid">
          <bgColor theme="7" tint="0.79998168889431442"/>
        </patternFill>
      </fill>
    </dxf>
    <dxf>
      <fill>
        <patternFill>
          <bgColor rgb="FFFFFF00"/>
        </patternFill>
      </fill>
    </dxf>
    <dxf>
      <fill>
        <patternFill>
          <bgColor rgb="FFFFFF00"/>
        </patternFill>
      </fill>
    </dxf>
    <dxf>
      <fill>
        <patternFill patternType="solid">
          <bgColor theme="5" tint="0.79998168889431442"/>
        </patternFill>
      </fill>
    </dxf>
    <dxf>
      <fill>
        <patternFill patternType="solid">
          <bgColor theme="5" tint="0.79998168889431442"/>
        </patternFill>
      </fill>
    </dxf>
    <dxf>
      <fill>
        <patternFill patternType="solid">
          <bgColor theme="9" tint="0.79998168889431442"/>
        </patternFill>
      </fill>
    </dxf>
    <dxf>
      <fill>
        <patternFill patternType="solid">
          <bgColor theme="9" tint="0.79998168889431442"/>
        </patternFill>
      </fill>
    </dxf>
    <dxf>
      <numFmt numFmtId="4" formatCode="#,##0.00"/>
    </dxf>
    <dxf>
      <numFmt numFmtId="4" formatCode="#,##0.00"/>
    </dxf>
    <dxf>
      <numFmt numFmtId="167" formatCode="[$SAR]\ #,##0_);\([$SAR]\ #,##0\)"/>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val="0"/>
        <i val="0"/>
        <strike val="0"/>
        <condense val="0"/>
        <extend val="0"/>
        <outline val="0"/>
        <shadow val="0"/>
        <u val="none"/>
        <vertAlign val="baseline"/>
        <sz val="11"/>
        <color theme="1"/>
        <name val="Times New Roman"/>
        <family val="1"/>
        <scheme val="none"/>
      </font>
      <numFmt numFmtId="0" formatCode="General"/>
      <alignment horizontal="general" vertical="center" textRotation="0" wrapText="0" indent="0" justifyLastLine="0" shrinkToFit="0" readingOrder="0"/>
    </dxf>
    <dxf>
      <font>
        <b val="0"/>
        <i val="0"/>
        <strike val="0"/>
        <condense val="0"/>
        <extend val="0"/>
        <outline val="0"/>
        <shadow val="0"/>
        <u val="none"/>
        <vertAlign val="baseline"/>
        <sz val="11"/>
        <color theme="1"/>
        <name val="Times New Roman"/>
        <family val="1"/>
        <scheme val="none"/>
      </font>
      <numFmt numFmtId="3" formatCode="#,##0"/>
    </dxf>
    <dxf>
      <font>
        <b val="0"/>
        <i val="0"/>
        <strike val="0"/>
        <condense val="0"/>
        <extend val="0"/>
        <outline val="0"/>
        <shadow val="0"/>
        <u val="none"/>
        <vertAlign val="baseline"/>
        <sz val="11"/>
        <color rgb="FF000000"/>
        <name val="Times New Roman"/>
        <family val="1"/>
        <scheme val="none"/>
      </font>
      <numFmt numFmtId="0" formatCode="General"/>
      <alignment horizontal="general" vertical="top" textRotation="0" wrapText="0" indent="0" justifyLastLine="0" shrinkToFit="1" readingOrder="1"/>
      <border diagonalUp="0" diagonalDown="0" outline="0">
        <left/>
        <right/>
        <top style="thin">
          <color rgb="FF808080"/>
        </top>
        <bottom style="thin">
          <color rgb="FF808080"/>
        </bottom>
      </border>
    </dxf>
    <dxf>
      <font>
        <b val="0"/>
        <i val="0"/>
        <strike val="0"/>
        <condense val="0"/>
        <extend val="0"/>
        <outline val="0"/>
        <shadow val="0"/>
        <u val="none"/>
        <vertAlign val="baseline"/>
        <sz val="11"/>
        <color rgb="FF000000"/>
        <name val="Times New Roman"/>
        <family val="1"/>
        <scheme val="none"/>
      </font>
      <alignment horizontal="general" vertical="top" textRotation="0" wrapText="0" indent="0" justifyLastLine="0" shrinkToFit="1" readingOrder="1"/>
      <border diagonalUp="0" diagonalDown="0" outline="0">
        <left/>
        <right style="thin">
          <color rgb="FF808080"/>
        </right>
        <top style="thin">
          <color rgb="FF808080"/>
        </top>
        <bottom style="thin">
          <color rgb="FF808080"/>
        </bottom>
      </border>
    </dxf>
    <dxf>
      <font>
        <b val="0"/>
        <i val="0"/>
        <strike val="0"/>
        <condense val="0"/>
        <extend val="0"/>
        <outline val="0"/>
        <shadow val="0"/>
        <u val="none"/>
        <vertAlign val="baseline"/>
        <sz val="11"/>
        <color rgb="FF000000"/>
        <name val="Times New Roman"/>
        <family val="1"/>
        <scheme val="none"/>
      </font>
      <alignment horizontal="general" vertical="top" textRotation="0" wrapText="0" indent="0" justifyLastLine="0" shrinkToFit="1" readingOrder="1"/>
      <border diagonalUp="0" diagonalDown="0" outline="0">
        <left style="thin">
          <color rgb="FF808080"/>
        </left>
        <right style="thin">
          <color rgb="FF808080"/>
        </right>
        <top style="thin">
          <color rgb="FF808080"/>
        </top>
        <bottom style="thin">
          <color rgb="FF808080"/>
        </bottom>
      </border>
    </dxf>
    <dxf>
      <font>
        <b val="0"/>
        <i val="0"/>
        <strike val="0"/>
        <condense val="0"/>
        <extend val="0"/>
        <outline val="0"/>
        <shadow val="0"/>
        <u val="none"/>
        <vertAlign val="baseline"/>
        <sz val="11"/>
        <color rgb="FF000000"/>
        <name val="Times New Roman"/>
        <family val="1"/>
        <scheme val="none"/>
      </font>
      <numFmt numFmtId="20" formatCode="d\-mmm\-yy"/>
      <alignment horizontal="general" vertical="top" textRotation="0" wrapText="0" indent="0" justifyLastLine="0" shrinkToFit="1" readingOrder="1"/>
      <border diagonalUp="0" diagonalDown="0" outline="0">
        <left style="thin">
          <color rgb="FF808080"/>
        </left>
        <right/>
        <top style="thin">
          <color rgb="FF808080"/>
        </top>
        <bottom style="thin">
          <color rgb="FF808080"/>
        </bottom>
      </border>
    </dxf>
    <dxf>
      <font>
        <b val="0"/>
        <i val="0"/>
        <strike val="0"/>
        <condense val="0"/>
        <extend val="0"/>
        <outline val="0"/>
        <shadow val="0"/>
        <u val="none"/>
        <vertAlign val="baseline"/>
        <sz val="11"/>
        <color rgb="FF000000"/>
        <name val="Times New Roman"/>
        <family val="1"/>
        <scheme val="none"/>
      </font>
      <numFmt numFmtId="166" formatCode="_(* #,##0_);_(* \(#,##0\);_(* &quot;-&quot;??_);_(@_)"/>
      <alignment horizontal="general" vertical="top" textRotation="0" wrapText="0" indent="0" justifyLastLine="0" shrinkToFit="1" readingOrder="1"/>
      <border diagonalUp="0" diagonalDown="0" outline="0">
        <left style="thin">
          <color rgb="FF808080"/>
        </left>
        <right/>
        <top style="thin">
          <color rgb="FF808080"/>
        </top>
        <bottom style="thin">
          <color rgb="FF808080"/>
        </bottom>
      </border>
    </dxf>
    <dxf>
      <font>
        <b val="0"/>
        <i val="0"/>
        <strike val="0"/>
        <condense val="0"/>
        <extend val="0"/>
        <outline val="0"/>
        <shadow val="0"/>
        <u val="none"/>
        <vertAlign val="baseline"/>
        <sz val="11"/>
        <color rgb="FF000000"/>
        <name val="Times New Roman"/>
        <family val="1"/>
        <scheme val="none"/>
      </font>
      <numFmt numFmtId="30" formatCode="@"/>
      <alignment horizontal="left" vertical="top" textRotation="0" wrapText="0" indent="0" justifyLastLine="0" shrinkToFit="1" readingOrder="1"/>
      <border diagonalUp="0" diagonalDown="0" outline="0">
        <left style="thin">
          <color rgb="FF808080"/>
        </left>
        <right/>
        <top style="thin">
          <color rgb="FF808080"/>
        </top>
        <bottom style="thin">
          <color rgb="FF808080"/>
        </bottom>
      </border>
    </dxf>
    <dxf>
      <font>
        <b val="0"/>
        <i val="0"/>
        <strike val="0"/>
        <condense val="0"/>
        <extend val="0"/>
        <outline val="0"/>
        <shadow val="0"/>
        <u val="none"/>
        <vertAlign val="baseline"/>
        <sz val="11"/>
        <color rgb="FF000000"/>
        <name val="Times New Roman"/>
        <family val="1"/>
        <scheme val="none"/>
      </font>
      <numFmt numFmtId="30" formatCode="@"/>
      <alignment horizontal="general" vertical="top" textRotation="0" wrapText="0" indent="0" justifyLastLine="0" shrinkToFit="1" readingOrder="1"/>
      <border diagonalUp="0" diagonalDown="0" outline="0">
        <left/>
        <right style="thin">
          <color rgb="FF808080"/>
        </right>
        <top style="thin">
          <color rgb="FF808080"/>
        </top>
        <bottom style="thin">
          <color rgb="FF808080"/>
        </bottom>
      </border>
    </dxf>
    <dxf>
      <border outline="0">
        <top style="thin">
          <color rgb="FF000000"/>
        </top>
      </border>
    </dxf>
    <dxf>
      <font>
        <b val="0"/>
        <i val="0"/>
        <strike val="0"/>
        <condense val="0"/>
        <extend val="0"/>
        <outline val="0"/>
        <shadow val="0"/>
        <u val="none"/>
        <vertAlign val="baseline"/>
        <sz val="11"/>
        <color rgb="FF000000"/>
        <name val="Times New Roman"/>
        <family val="1"/>
        <scheme val="none"/>
      </font>
      <alignment horizontal="general" vertical="top" textRotation="0" wrapText="0" indent="0" justifyLastLine="0" shrinkToFit="1" readingOrder="1"/>
    </dxf>
    <dxf>
      <border outline="0">
        <bottom style="thin">
          <color rgb="FF000000"/>
        </bottom>
      </border>
    </dxf>
    <dxf>
      <font>
        <b val="0"/>
        <i val="0"/>
        <strike val="0"/>
        <condense val="0"/>
        <extend val="0"/>
        <outline val="0"/>
        <shadow val="0"/>
        <u val="none"/>
        <vertAlign val="baseline"/>
        <sz val="9.75"/>
        <color rgb="FF000000"/>
        <name val="Tahoma"/>
        <scheme val="none"/>
      </font>
      <fill>
        <patternFill patternType="solid">
          <fgColor indexed="64"/>
          <bgColor rgb="FFC0C0C0"/>
        </patternFill>
      </fill>
      <alignment horizontal="general" vertical="center" textRotation="0" wrapText="0" indent="0" justifyLastLine="0" shrinkToFit="1" readingOrder="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18" Type="http://schemas.openxmlformats.org/officeDocument/2006/relationships/customXml" Target="../customXml/item7.xml"/><Relationship Id="rId26" Type="http://schemas.openxmlformats.org/officeDocument/2006/relationships/customXml" Target="../customXml/item15.xml"/><Relationship Id="rId3" Type="http://schemas.openxmlformats.org/officeDocument/2006/relationships/worksheet" Target="worksheets/sheet3.xml"/><Relationship Id="rId21" Type="http://schemas.openxmlformats.org/officeDocument/2006/relationships/customXml" Target="../customXml/item10.xml"/><Relationship Id="rId7" Type="http://schemas.openxmlformats.org/officeDocument/2006/relationships/connections" Target="connections.xml"/><Relationship Id="rId12" Type="http://schemas.openxmlformats.org/officeDocument/2006/relationships/customXml" Target="../customXml/item1.xml"/><Relationship Id="rId17" Type="http://schemas.openxmlformats.org/officeDocument/2006/relationships/customXml" Target="../customXml/item6.xml"/><Relationship Id="rId25" Type="http://schemas.openxmlformats.org/officeDocument/2006/relationships/customXml" Target="../customXml/item14.xml"/><Relationship Id="rId2" Type="http://schemas.openxmlformats.org/officeDocument/2006/relationships/worksheet" Target="worksheets/sheet2.xml"/><Relationship Id="rId16" Type="http://schemas.openxmlformats.org/officeDocument/2006/relationships/customXml" Target="../customXml/item5.xml"/><Relationship Id="rId20"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24" Type="http://schemas.openxmlformats.org/officeDocument/2006/relationships/customXml" Target="../customXml/item13.xml"/><Relationship Id="rId5" Type="http://schemas.microsoft.com/office/2007/relationships/slicerCache" Target="slicerCaches/slicerCache1.xml"/><Relationship Id="rId15" Type="http://schemas.openxmlformats.org/officeDocument/2006/relationships/customXml" Target="../customXml/item4.xml"/><Relationship Id="rId23" Type="http://schemas.openxmlformats.org/officeDocument/2006/relationships/customXml" Target="../customXml/item12.xml"/><Relationship Id="rId28" Type="http://schemas.openxmlformats.org/officeDocument/2006/relationships/customXml" Target="../customXml/item17.xml"/><Relationship Id="rId10" Type="http://schemas.openxmlformats.org/officeDocument/2006/relationships/powerPivotData" Target="model/item.data"/><Relationship Id="rId19" Type="http://schemas.openxmlformats.org/officeDocument/2006/relationships/customXml" Target="../customXml/item8.xml"/><Relationship Id="rId4" Type="http://schemas.openxmlformats.org/officeDocument/2006/relationships/pivotCacheDefinition" Target="pivotCache/pivotCacheDefinition1.xml"/><Relationship Id="rId9" Type="http://schemas.openxmlformats.org/officeDocument/2006/relationships/sharedStrings" Target="sharedStrings.xml"/><Relationship Id="rId14" Type="http://schemas.openxmlformats.org/officeDocument/2006/relationships/customXml" Target="../customXml/item3.xml"/><Relationship Id="rId22" Type="http://schemas.openxmlformats.org/officeDocument/2006/relationships/customXml" Target="../customXml/item11.xml"/><Relationship Id="rId27"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[customer-invoice-aging-analysis.Xlsx]Dash Board!PivotTable1</c:name>
    <c:fmtId val="0"/>
  </c:pivotSource>
  <c:chart>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gradFill>
                    <a:gsLst>
                      <a:gs pos="0">
                        <a:schemeClr val="accent1">
                          <a:lumMod val="5000"/>
                          <a:lumOff val="95000"/>
                        </a:schemeClr>
                      </a:gs>
                      <a:gs pos="37074">
                        <a:srgbClr val="D6E6F4"/>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gradFill>
                    <a:gsLst>
                      <a:gs pos="0">
                        <a:schemeClr val="accent1">
                          <a:lumMod val="5000"/>
                          <a:lumOff val="95000"/>
                        </a:schemeClr>
                      </a:gs>
                      <a:gs pos="37074">
                        <a:srgbClr val="D6E6F4"/>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gradFill>
                    <a:gsLst>
                      <a:gs pos="0">
                        <a:schemeClr val="accent1">
                          <a:lumMod val="5000"/>
                          <a:lumOff val="95000"/>
                        </a:schemeClr>
                      </a:gs>
                      <a:gs pos="37074">
                        <a:srgbClr val="D6E6F4"/>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gradFill>
                    <a:gsLst>
                      <a:gs pos="0">
                        <a:schemeClr val="accent1">
                          <a:lumMod val="5000"/>
                          <a:lumOff val="95000"/>
                        </a:schemeClr>
                      </a:gs>
                      <a:gs pos="37074">
                        <a:srgbClr val="D6E6F4"/>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58119288840293"/>
          <c:y val="8.469521606380076E-2"/>
          <c:w val="0.839237998475997"/>
          <c:h val="0.59070178416752628"/>
        </c:manualLayout>
      </c:layout>
      <c:barChart>
        <c:barDir val="col"/>
        <c:grouping val="stacked"/>
        <c:varyColors val="0"/>
        <c:ser>
          <c:idx val="0"/>
          <c:order val="0"/>
          <c:tx>
            <c:strRef>
              <c:f>'Dash Board'!$D$3:$D$4</c:f>
              <c:strCache>
                <c:ptCount val="1"/>
                <c:pt idx="0">
                  <c:v>0–30</c:v>
                </c:pt>
              </c:strCache>
            </c:strRef>
          </c:tx>
          <c:spPr>
            <a:gradFill rotWithShape="1">
              <a:gsLst>
                <a:gs pos="0">
                  <a:schemeClr val="accent2">
                    <a:tint val="58000"/>
                    <a:satMod val="103000"/>
                    <a:lumMod val="102000"/>
                    <a:tint val="94000"/>
                  </a:schemeClr>
                </a:gs>
                <a:gs pos="50000">
                  <a:schemeClr val="accent2">
                    <a:tint val="58000"/>
                    <a:satMod val="110000"/>
                    <a:lumMod val="100000"/>
                    <a:shade val="100000"/>
                  </a:schemeClr>
                </a:gs>
                <a:gs pos="100000">
                  <a:schemeClr val="accent2">
                    <a:tint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gradFill>
                      <a:gsLst>
                        <a:gs pos="0">
                          <a:schemeClr val="accent1">
                            <a:lumMod val="5000"/>
                            <a:lumOff val="95000"/>
                          </a:schemeClr>
                        </a:gs>
                        <a:gs pos="37074">
                          <a:srgbClr val="D6E6F4"/>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'Dash Board'!$A$5:$C$12</c:f>
              <c:multiLvlStrCache>
                <c:ptCount val="7"/>
                <c:lvl>
                  <c:pt idx="0">
                    <c:v>Saudi Basic Industries Corporation SABIC - SSL01</c:v>
                  </c:pt>
                  <c:pt idx="1">
                    <c:v>SAUDI GRINDING &amp; POLISHING Co. - SGC01</c:v>
                  </c:pt>
                  <c:pt idx="2">
                    <c:v>SAUDI VETONIT CO.LTD. - SAV02</c:v>
                  </c:pt>
                  <c:pt idx="3">
                    <c:v>SAUDI VETONIT CO.LTD. - SAV02</c:v>
                  </c:pt>
                  <c:pt idx="4">
                    <c:v>Saudi Basic Industries Corporation SABIC - SSL01</c:v>
                  </c:pt>
                  <c:pt idx="5">
                    <c:v>Saudi Basic Industries Corporation SABIC - SSL01</c:v>
                  </c:pt>
                  <c:pt idx="6">
                    <c:v>SAUDI GRINDING &amp; POLISHING Co. - SGC01</c:v>
                  </c:pt>
                </c:lvl>
                <c:lvl>
                  <c:pt idx="0">
                    <c:v>1</c:v>
                  </c:pt>
                  <c:pt idx="1">
                    <c:v>323</c:v>
                  </c:pt>
                  <c:pt idx="2">
                    <c:v>916</c:v>
                  </c:pt>
                  <c:pt idx="3">
                    <c:v>968</c:v>
                  </c:pt>
                  <c:pt idx="4">
                    <c:v>1344</c:v>
                  </c:pt>
                  <c:pt idx="5">
                    <c:v>321</c:v>
                  </c:pt>
                  <c:pt idx="6">
                    <c:v>625</c:v>
                  </c:pt>
                </c:lvl>
                <c:lvl>
                  <c:pt idx="0">
                    <c:v>9/30/2024</c:v>
                  </c:pt>
                  <c:pt idx="1">
                    <c:v>12/9/2024</c:v>
                  </c:pt>
                  <c:pt idx="2">
                    <c:v>5/7/2025</c:v>
                  </c:pt>
                  <c:pt idx="3">
                    <c:v>5/20/2025</c:v>
                  </c:pt>
                  <c:pt idx="4">
                    <c:v>9/4/2025</c:v>
                  </c:pt>
                  <c:pt idx="5">
                    <c:v>12/9/2025</c:v>
                  </c:pt>
                  <c:pt idx="6">
                    <c:v>2/1/2026</c:v>
                  </c:pt>
                </c:lvl>
              </c:multiLvlStrCache>
            </c:multiLvlStrRef>
          </c:cat>
          <c:val>
            <c:numRef>
              <c:f>'Dash Board'!$D$5:$D$12</c:f>
              <c:numCache>
                <c:formatCode>[$SAR]\ #,##0_);\([$SAR]\ #,##0\)</c:formatCode>
                <c:ptCount val="7"/>
                <c:pt idx="6">
                  <c:v>6955</c:v>
                </c:pt>
              </c:numCache>
            </c:numRef>
          </c:val>
          <c:extLst>
            <c:ext xmlns:c16="http://schemas.microsoft.com/office/drawing/2014/chart" uri="{C3380CC4-5D6E-409C-BE32-E72D297353CC}">
              <c16:uniqueId val="{0000000D-9A2E-4A65-BBE7-5324D26176F0}"/>
            </c:ext>
          </c:extLst>
        </c:ser>
        <c:ser>
          <c:idx val="1"/>
          <c:order val="1"/>
          <c:tx>
            <c:strRef>
              <c:f>'Dash Board'!$E$3:$E$4</c:f>
              <c:strCache>
                <c:ptCount val="1"/>
                <c:pt idx="0">
                  <c:v>30-60</c:v>
                </c:pt>
              </c:strCache>
            </c:strRef>
          </c:tx>
          <c:spPr>
            <a:gradFill rotWithShape="1">
              <a:gsLst>
                <a:gs pos="0">
                  <a:schemeClr val="accent2">
                    <a:tint val="86000"/>
                    <a:satMod val="103000"/>
                    <a:lumMod val="102000"/>
                    <a:tint val="94000"/>
                  </a:schemeClr>
                </a:gs>
                <a:gs pos="50000">
                  <a:schemeClr val="accent2">
                    <a:tint val="86000"/>
                    <a:satMod val="110000"/>
                    <a:lumMod val="100000"/>
                    <a:shade val="100000"/>
                  </a:schemeClr>
                </a:gs>
                <a:gs pos="100000">
                  <a:schemeClr val="accent2">
                    <a:tint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gradFill>
                      <a:gsLst>
                        <a:gs pos="0">
                          <a:schemeClr val="accent1">
                            <a:lumMod val="5000"/>
                            <a:lumOff val="95000"/>
                          </a:schemeClr>
                        </a:gs>
                        <a:gs pos="37074">
                          <a:srgbClr val="D6E6F4"/>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'Dash Board'!$A$5:$C$12</c:f>
              <c:multiLvlStrCache>
                <c:ptCount val="7"/>
                <c:lvl>
                  <c:pt idx="0">
                    <c:v>Saudi Basic Industries Corporation SABIC - SSL01</c:v>
                  </c:pt>
                  <c:pt idx="1">
                    <c:v>SAUDI GRINDING &amp; POLISHING Co. - SGC01</c:v>
                  </c:pt>
                  <c:pt idx="2">
                    <c:v>SAUDI VETONIT CO.LTD. - SAV02</c:v>
                  </c:pt>
                  <c:pt idx="3">
                    <c:v>SAUDI VETONIT CO.LTD. - SAV02</c:v>
                  </c:pt>
                  <c:pt idx="4">
                    <c:v>Saudi Basic Industries Corporation SABIC - SSL01</c:v>
                  </c:pt>
                  <c:pt idx="5">
                    <c:v>Saudi Basic Industries Corporation SABIC - SSL01</c:v>
                  </c:pt>
                  <c:pt idx="6">
                    <c:v>SAUDI GRINDING &amp; POLISHING Co. - SGC01</c:v>
                  </c:pt>
                </c:lvl>
                <c:lvl>
                  <c:pt idx="0">
                    <c:v>1</c:v>
                  </c:pt>
                  <c:pt idx="1">
                    <c:v>323</c:v>
                  </c:pt>
                  <c:pt idx="2">
                    <c:v>916</c:v>
                  </c:pt>
                  <c:pt idx="3">
                    <c:v>968</c:v>
                  </c:pt>
                  <c:pt idx="4">
                    <c:v>1344</c:v>
                  </c:pt>
                  <c:pt idx="5">
                    <c:v>321</c:v>
                  </c:pt>
                  <c:pt idx="6">
                    <c:v>625</c:v>
                  </c:pt>
                </c:lvl>
                <c:lvl>
                  <c:pt idx="0">
                    <c:v>9/30/2024</c:v>
                  </c:pt>
                  <c:pt idx="1">
                    <c:v>12/9/2024</c:v>
                  </c:pt>
                  <c:pt idx="2">
                    <c:v>5/7/2025</c:v>
                  </c:pt>
                  <c:pt idx="3">
                    <c:v>5/20/2025</c:v>
                  </c:pt>
                  <c:pt idx="4">
                    <c:v>9/4/2025</c:v>
                  </c:pt>
                  <c:pt idx="5">
                    <c:v>12/9/2025</c:v>
                  </c:pt>
                  <c:pt idx="6">
                    <c:v>2/1/2026</c:v>
                  </c:pt>
                </c:lvl>
              </c:multiLvlStrCache>
            </c:multiLvlStrRef>
          </c:cat>
          <c:val>
            <c:numRef>
              <c:f>'Dash Board'!$E$5:$E$12</c:f>
              <c:numCache>
                <c:formatCode>[$SAR]\ #,##0_);\([$SAR]\ #,##0\)</c:formatCode>
                <c:ptCount val="7"/>
                <c:pt idx="3">
                  <c:v>10062.5</c:v>
                </c:pt>
              </c:numCache>
            </c:numRef>
          </c:val>
          <c:extLst>
            <c:ext xmlns:c16="http://schemas.microsoft.com/office/drawing/2014/chart" uri="{C3380CC4-5D6E-409C-BE32-E72D297353CC}">
              <c16:uniqueId val="{0000000C-D18C-458F-B66F-9D403DD6D66B}"/>
            </c:ext>
          </c:extLst>
        </c:ser>
        <c:ser>
          <c:idx val="2"/>
          <c:order val="2"/>
          <c:tx>
            <c:strRef>
              <c:f>'Dash Board'!$F$3:$F$4</c:f>
              <c:strCache>
                <c:ptCount val="1"/>
                <c:pt idx="0">
                  <c:v>60-90</c:v>
                </c:pt>
              </c:strCache>
            </c:strRef>
          </c:tx>
          <c:spPr>
            <a:gradFill rotWithShape="1">
              <a:gsLst>
                <a:gs pos="0">
                  <a:schemeClr val="accent2">
                    <a:shade val="86000"/>
                    <a:satMod val="103000"/>
                    <a:lumMod val="102000"/>
                    <a:tint val="94000"/>
                  </a:schemeClr>
                </a:gs>
                <a:gs pos="50000">
                  <a:schemeClr val="accent2">
                    <a:shade val="86000"/>
                    <a:satMod val="110000"/>
                    <a:lumMod val="100000"/>
                    <a:shade val="100000"/>
                  </a:schemeClr>
                </a:gs>
                <a:gs pos="100000">
                  <a:schemeClr val="accent2">
                    <a:shade val="86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gradFill>
                      <a:gsLst>
                        <a:gs pos="0">
                          <a:schemeClr val="accent1">
                            <a:lumMod val="5000"/>
                            <a:lumOff val="95000"/>
                          </a:schemeClr>
                        </a:gs>
                        <a:gs pos="37074">
                          <a:srgbClr val="D6E6F4"/>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'Dash Board'!$A$5:$C$12</c:f>
              <c:multiLvlStrCache>
                <c:ptCount val="7"/>
                <c:lvl>
                  <c:pt idx="0">
                    <c:v>Saudi Basic Industries Corporation SABIC - SSL01</c:v>
                  </c:pt>
                  <c:pt idx="1">
                    <c:v>SAUDI GRINDING &amp; POLISHING Co. - SGC01</c:v>
                  </c:pt>
                  <c:pt idx="2">
                    <c:v>SAUDI VETONIT CO.LTD. - SAV02</c:v>
                  </c:pt>
                  <c:pt idx="3">
                    <c:v>SAUDI VETONIT CO.LTD. - SAV02</c:v>
                  </c:pt>
                  <c:pt idx="4">
                    <c:v>Saudi Basic Industries Corporation SABIC - SSL01</c:v>
                  </c:pt>
                  <c:pt idx="5">
                    <c:v>Saudi Basic Industries Corporation SABIC - SSL01</c:v>
                  </c:pt>
                  <c:pt idx="6">
                    <c:v>SAUDI GRINDING &amp; POLISHING Co. - SGC01</c:v>
                  </c:pt>
                </c:lvl>
                <c:lvl>
                  <c:pt idx="0">
                    <c:v>1</c:v>
                  </c:pt>
                  <c:pt idx="1">
                    <c:v>323</c:v>
                  </c:pt>
                  <c:pt idx="2">
                    <c:v>916</c:v>
                  </c:pt>
                  <c:pt idx="3">
                    <c:v>968</c:v>
                  </c:pt>
                  <c:pt idx="4">
                    <c:v>1344</c:v>
                  </c:pt>
                  <c:pt idx="5">
                    <c:v>321</c:v>
                  </c:pt>
                  <c:pt idx="6">
                    <c:v>625</c:v>
                  </c:pt>
                </c:lvl>
                <c:lvl>
                  <c:pt idx="0">
                    <c:v>9/30/2024</c:v>
                  </c:pt>
                  <c:pt idx="1">
                    <c:v>12/9/2024</c:v>
                  </c:pt>
                  <c:pt idx="2">
                    <c:v>5/7/2025</c:v>
                  </c:pt>
                  <c:pt idx="3">
                    <c:v>5/20/2025</c:v>
                  </c:pt>
                  <c:pt idx="4">
                    <c:v>9/4/2025</c:v>
                  </c:pt>
                  <c:pt idx="5">
                    <c:v>12/9/2025</c:v>
                  </c:pt>
                  <c:pt idx="6">
                    <c:v>2/1/2026</c:v>
                  </c:pt>
                </c:lvl>
              </c:multiLvlStrCache>
            </c:multiLvlStrRef>
          </c:cat>
          <c:val>
            <c:numRef>
              <c:f>'Dash Board'!$F$5:$F$12</c:f>
              <c:numCache>
                <c:formatCode>[$SAR]\ #,##0_);\([$SAR]\ #,##0\)</c:formatCode>
                <c:ptCount val="7"/>
                <c:pt idx="2">
                  <c:v>8970</c:v>
                </c:pt>
                <c:pt idx="5">
                  <c:v>29900</c:v>
                </c:pt>
              </c:numCache>
            </c:numRef>
          </c:val>
          <c:extLst>
            <c:ext xmlns:c16="http://schemas.microsoft.com/office/drawing/2014/chart" uri="{C3380CC4-5D6E-409C-BE32-E72D297353CC}">
              <c16:uniqueId val="{0000000D-D18C-458F-B66F-9D403DD6D66B}"/>
            </c:ext>
          </c:extLst>
        </c:ser>
        <c:ser>
          <c:idx val="3"/>
          <c:order val="3"/>
          <c:tx>
            <c:strRef>
              <c:f>'Dash Board'!$G$3:$G$4</c:f>
              <c:strCache>
                <c:ptCount val="1"/>
                <c:pt idx="0">
                  <c:v>91 &gt;</c:v>
                </c:pt>
              </c:strCache>
            </c:strRef>
          </c:tx>
          <c:spPr>
            <a:gradFill rotWithShape="1">
              <a:gsLst>
                <a:gs pos="0">
                  <a:schemeClr val="accent2">
                    <a:shade val="58000"/>
                    <a:satMod val="103000"/>
                    <a:lumMod val="102000"/>
                    <a:tint val="94000"/>
                  </a:schemeClr>
                </a:gs>
                <a:gs pos="50000">
                  <a:schemeClr val="accent2">
                    <a:shade val="58000"/>
                    <a:satMod val="110000"/>
                    <a:lumMod val="100000"/>
                    <a:shade val="100000"/>
                  </a:schemeClr>
                </a:gs>
                <a:gs pos="100000">
                  <a:schemeClr val="accent2">
                    <a:shade val="58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gradFill>
                      <a:gsLst>
                        <a:gs pos="0">
                          <a:schemeClr val="accent1">
                            <a:lumMod val="5000"/>
                            <a:lumOff val="95000"/>
                          </a:schemeClr>
                        </a:gs>
                        <a:gs pos="37074">
                          <a:srgbClr val="D6E6F4"/>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'Dash Board'!$A$5:$C$12</c:f>
              <c:multiLvlStrCache>
                <c:ptCount val="7"/>
                <c:lvl>
                  <c:pt idx="0">
                    <c:v>Saudi Basic Industries Corporation SABIC - SSL01</c:v>
                  </c:pt>
                  <c:pt idx="1">
                    <c:v>SAUDI GRINDING &amp; POLISHING Co. - SGC01</c:v>
                  </c:pt>
                  <c:pt idx="2">
                    <c:v>SAUDI VETONIT CO.LTD. - SAV02</c:v>
                  </c:pt>
                  <c:pt idx="3">
                    <c:v>SAUDI VETONIT CO.LTD. - SAV02</c:v>
                  </c:pt>
                  <c:pt idx="4">
                    <c:v>Saudi Basic Industries Corporation SABIC - SSL01</c:v>
                  </c:pt>
                  <c:pt idx="5">
                    <c:v>Saudi Basic Industries Corporation SABIC - SSL01</c:v>
                  </c:pt>
                  <c:pt idx="6">
                    <c:v>SAUDI GRINDING &amp; POLISHING Co. - SGC01</c:v>
                  </c:pt>
                </c:lvl>
                <c:lvl>
                  <c:pt idx="0">
                    <c:v>1</c:v>
                  </c:pt>
                  <c:pt idx="1">
                    <c:v>323</c:v>
                  </c:pt>
                  <c:pt idx="2">
                    <c:v>916</c:v>
                  </c:pt>
                  <c:pt idx="3">
                    <c:v>968</c:v>
                  </c:pt>
                  <c:pt idx="4">
                    <c:v>1344</c:v>
                  </c:pt>
                  <c:pt idx="5">
                    <c:v>321</c:v>
                  </c:pt>
                  <c:pt idx="6">
                    <c:v>625</c:v>
                  </c:pt>
                </c:lvl>
                <c:lvl>
                  <c:pt idx="0">
                    <c:v>9/30/2024</c:v>
                  </c:pt>
                  <c:pt idx="1">
                    <c:v>12/9/2024</c:v>
                  </c:pt>
                  <c:pt idx="2">
                    <c:v>5/7/2025</c:v>
                  </c:pt>
                  <c:pt idx="3">
                    <c:v>5/20/2025</c:v>
                  </c:pt>
                  <c:pt idx="4">
                    <c:v>9/4/2025</c:v>
                  </c:pt>
                  <c:pt idx="5">
                    <c:v>12/9/2025</c:v>
                  </c:pt>
                  <c:pt idx="6">
                    <c:v>2/1/2026</c:v>
                  </c:pt>
                </c:lvl>
              </c:multiLvlStrCache>
            </c:multiLvlStrRef>
          </c:cat>
          <c:val>
            <c:numRef>
              <c:f>'Dash Board'!$G$5:$G$12</c:f>
              <c:numCache>
                <c:formatCode>[$SAR]\ #,##0_);\([$SAR]\ #,##0\)</c:formatCode>
                <c:ptCount val="7"/>
                <c:pt idx="0">
                  <c:v>94369</c:v>
                </c:pt>
                <c:pt idx="1">
                  <c:v>23345</c:v>
                </c:pt>
                <c:pt idx="4">
                  <c:v>5980</c:v>
                </c:pt>
              </c:numCache>
            </c:numRef>
          </c:val>
          <c:extLst>
            <c:ext xmlns:c16="http://schemas.microsoft.com/office/drawing/2014/chart" uri="{C3380CC4-5D6E-409C-BE32-E72D297353CC}">
              <c16:uniqueId val="{0000000E-D18C-458F-B66F-9D403DD6D66B}"/>
            </c:ext>
          </c:extLst>
        </c:ser>
        <c:dLbls>
          <c:dLblPos val="ctr"/>
          <c:showLegendKey val="0"/>
          <c:showVal val="1"/>
          <c:showCatName val="0"/>
          <c:showSerName val="0"/>
          <c:showPercent val="0"/>
          <c:showBubbleSize val="0"/>
        </c:dLbls>
        <c:gapWidth val="150"/>
        <c:overlap val="100"/>
        <c:axId val="1604378671"/>
        <c:axId val="1604380111"/>
      </c:barChart>
      <c:catAx>
        <c:axId val="160437867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gradFill>
                  <a:gsLst>
                    <a:gs pos="0">
                      <a:schemeClr val="accent1">
                        <a:lumMod val="5000"/>
                        <a:lumOff val="95000"/>
                      </a:schemeClr>
                    </a:gs>
                    <a:gs pos="37074">
                      <a:srgbClr val="D6E6F4"/>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crossAx val="1604380111"/>
        <c:crosses val="autoZero"/>
        <c:auto val="1"/>
        <c:lblAlgn val="ctr"/>
        <c:lblOffset val="100"/>
        <c:noMultiLvlLbl val="0"/>
      </c:catAx>
      <c:valAx>
        <c:axId val="1604380111"/>
        <c:scaling>
          <c:orientation val="minMax"/>
        </c:scaling>
        <c:delete val="0"/>
        <c:axPos val="l"/>
        <c:numFmt formatCode="[$SAR]\ #,##0_);\([$SAR]\ #,##0\)" sourceLinked="1"/>
        <c:majorTickMark val="none"/>
        <c:minorTickMark val="none"/>
        <c:tickLblPos val="nextTo"/>
        <c:spPr>
          <a:noFill/>
          <a:ln>
            <a:noFill/>
          </a:ln>
          <a:effectLst/>
        </c:spPr>
        <c:txPr>
          <a:bodyPr rot="0" spcFirstLastPara="1" vertOverflow="ellipsis" wrap="square" anchor="ctr" anchorCtr="1"/>
          <a:lstStyle/>
          <a:p>
            <a:pPr>
              <a:defRPr sz="900" b="0" i="0" u="none" strike="noStrike" kern="1200" baseline="0">
                <a:gradFill>
                  <a:gsLst>
                    <a:gs pos="0">
                      <a:schemeClr val="accent1">
                        <a:lumMod val="5000"/>
                        <a:lumOff val="95000"/>
                      </a:schemeClr>
                    </a:gs>
                    <a:gs pos="37074">
                      <a:srgbClr val="D6E6F4"/>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crossAx val="1604378671"/>
        <c:crosses val="autoZero"/>
        <c:crossBetween val="between"/>
      </c:valAx>
      <c:spPr>
        <a:noFill/>
        <a:ln>
          <a:solidFill>
            <a:schemeClr val="accent1"/>
          </a:solidFill>
          <a:prstDash val="solid"/>
        </a:ln>
        <a:effectLst/>
      </c:spPr>
    </c:plotArea>
    <c:legend>
      <c:legendPos val="t"/>
      <c:layout>
        <c:manualLayout>
          <c:xMode val="edge"/>
          <c:yMode val="edge"/>
          <c:x val="0.58134352046979565"/>
          <c:y val="0.12781081010378087"/>
          <c:w val="0.25830063515296869"/>
          <c:h val="8.767790796522508E-2"/>
        </c:manualLayout>
      </c:layout>
      <c:overlay val="0"/>
      <c:spPr>
        <a:noFill/>
        <a:ln>
          <a:solidFill>
            <a:schemeClr val="accent1"/>
          </a:solidFill>
        </a:ln>
        <a:effectLst/>
      </c:spPr>
      <c:txPr>
        <a:bodyPr rot="0" spcFirstLastPara="1" vertOverflow="ellipsis" vert="horz" wrap="square" anchor="ctr" anchorCtr="1"/>
        <a:lstStyle/>
        <a:p>
          <a:pPr>
            <a:defRPr sz="900" b="0" i="0" u="none" strike="noStrike" kern="1200" baseline="0">
              <a:ln>
                <a:solidFill>
                  <a:schemeClr val="accent1">
                    <a:lumMod val="60000"/>
                    <a:lumOff val="40000"/>
                  </a:schemeClr>
                </a:solidFill>
              </a:ln>
              <a:gradFill>
                <a:gsLst>
                  <a:gs pos="0">
                    <a:schemeClr val="accent1">
                      <a:lumMod val="5000"/>
                      <a:lumOff val="95000"/>
                    </a:schemeClr>
                  </a:gs>
                  <a:gs pos="27000">
                    <a:srgbClr val="D6E6F4">
                      <a:lumMod val="44000"/>
                      <a:lumOff val="56000"/>
                    </a:srgbClr>
                  </a:gs>
                  <a:gs pos="74000">
                    <a:schemeClr val="accent1">
                      <a:lumMod val="45000"/>
                      <a:lumOff val="55000"/>
                    </a:schemeClr>
                  </a:gs>
                  <a:gs pos="83000">
                    <a:schemeClr val="accent1">
                      <a:lumMod val="45000"/>
                      <a:lumOff val="55000"/>
                    </a:schemeClr>
                  </a:gs>
                  <a:gs pos="100000">
                    <a:schemeClr val="accent1">
                      <a:lumMod val="30000"/>
                      <a:lumOff val="70000"/>
                    </a:schemeClr>
                  </a:gs>
                </a:gsLst>
              </a:gra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gradFill>
            <a:gsLst>
              <a:gs pos="0">
                <a:schemeClr val="accent1">
                  <a:lumMod val="5000"/>
                  <a:lumOff val="95000"/>
                </a:schemeClr>
              </a:gs>
              <a:gs pos="37074">
                <a:srgbClr val="D6E6F4"/>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defRPr>
      </a:pPr>
      <a:endParaRPr lang="en-US"/>
    </a:p>
  </c:txPr>
  <c:printSettings>
    <c:headerFooter/>
    <c:pageMargins b="0.75" l="0.7" r="0.7" t="0.75" header="0.3" footer="0.3"/>
    <c:pageSetup paperSize="9" orientation="landscape"/>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723900</xdr:colOff>
      <xdr:row>12</xdr:row>
      <xdr:rowOff>91441</xdr:rowOff>
    </xdr:from>
    <xdr:to>
      <xdr:col>7</xdr:col>
      <xdr:colOff>838200</xdr:colOff>
      <xdr:row>37</xdr:row>
      <xdr:rowOff>68352</xdr:rowOff>
    </xdr:to>
    <xdr:graphicFrame macro="">
      <xdr:nvGraphicFramePr>
        <xdr:cNvPr id="2" name="Chart 1">
          <a:extLst>
            <a:ext uri="{FF2B5EF4-FFF2-40B4-BE49-F238E27FC236}">
              <a16:creationId xmlns:a16="http://schemas.microsoft.com/office/drawing/2014/main" id="{4C9F33CA-0E1C-3B0A-72C1-110BAFDD5F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56063</xdr:colOff>
      <xdr:row>13</xdr:row>
      <xdr:rowOff>108818</xdr:rowOff>
    </xdr:from>
    <xdr:to>
      <xdr:col>2</xdr:col>
      <xdr:colOff>708660</xdr:colOff>
      <xdr:row>19</xdr:row>
      <xdr:rowOff>160020</xdr:rowOff>
    </xdr:to>
    <mc:AlternateContent xmlns:mc="http://schemas.openxmlformats.org/markup-compatibility/2006" xmlns:a14="http://schemas.microsoft.com/office/drawing/2010/main">
      <mc:Choice Requires="a14">
        <xdr:graphicFrame macro="">
          <xdr:nvGraphicFramePr>
            <xdr:cNvPr id="3" name="Customer">
              <a:extLst>
                <a:ext uri="{FF2B5EF4-FFF2-40B4-BE49-F238E27FC236}">
                  <a16:creationId xmlns:a16="http://schemas.microsoft.com/office/drawing/2014/main" id="{F2432EA4-1C10-6487-5290-47BCE12DECA2}"/>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ustomer"/>
            </a:graphicData>
          </a:graphic>
        </xdr:graphicFrame>
      </mc:Choice>
      <mc:Fallback xmlns="">
        <xdr:sp macro="" textlink="">
          <xdr:nvSpPr>
            <xdr:cNvPr id="0" name=""/>
            <xdr:cNvSpPr>
              <a:spLocks noTextEdit="1"/>
            </xdr:cNvSpPr>
          </xdr:nvSpPr>
          <xdr:spPr>
            <a:xfrm>
              <a:off x="56063" y="2752958"/>
              <a:ext cx="3205297" cy="14990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UAWEI" refreshedDate="46064.628814120369" createdVersion="8" refreshedVersion="8" minRefreshableVersion="3" recordCount="7" xr:uid="{12E1005C-221F-45EC-8525-D8FDC40C379F}">
  <cacheSource type="worksheet">
    <worksheetSource name="Table1"/>
  </cacheSource>
  <cacheFields count="9">
    <cacheField name="Customer" numFmtId="49">
      <sharedItems count="3">
        <s v="Saudi Basic Industries Corporation SABIC - SSL01"/>
        <s v="SAUDI GRINDING &amp; POLISHING Co. - SGC01"/>
        <s v="SAUDI VETONIT CO.LTD. - SAV02"/>
      </sharedItems>
    </cacheField>
    <cacheField name="Transaction Type" numFmtId="49">
      <sharedItems/>
    </cacheField>
    <cacheField name="Transaction Serial" numFmtId="0">
      <sharedItems containsSemiMixedTypes="0" containsString="0" containsNumber="1" containsInteger="1" minValue="1" maxValue="1344" count="7">
        <n v="321"/>
        <n v="323"/>
        <n v="625"/>
        <n v="916"/>
        <n v="968"/>
        <n v="1344"/>
        <n v="1"/>
      </sharedItems>
    </cacheField>
    <cacheField name="Transaction Date" numFmtId="14">
      <sharedItems containsSemiMixedTypes="0" containsNonDate="0" containsDate="1" containsString="0" minDate="2024-09-30T00:00:00" maxDate="2026-02-01T09:15:03" count="7">
        <d v="2025-12-09T00:00:00"/>
        <d v="2024-12-09T16:19:18"/>
        <d v="2026-02-01T09:15:03"/>
        <d v="2025-05-07T16:00:20"/>
        <d v="2025-05-20T10:29:05"/>
        <d v="2025-09-04T09:40:33"/>
        <d v="2024-09-30T00:00:00"/>
      </sharedItems>
    </cacheField>
    <cacheField name="Total" numFmtId="0">
      <sharedItems containsSemiMixedTypes="0" containsString="0" containsNumber="1" minValue="5980" maxValue="145199"/>
    </cacheField>
    <cacheField name="Paid Amount" numFmtId="0">
      <sharedItems containsSemiMixedTypes="0" containsString="0" containsNumber="1" containsInteger="1" minValue="0" maxValue="50830"/>
    </cacheField>
    <cacheField name="Remaining" numFmtId="0">
      <sharedItems containsSemiMixedTypes="0" containsString="0" containsNumber="1" minValue="5980" maxValue="94369"/>
    </cacheField>
    <cacheField name="Aging DAY" numFmtId="3">
      <sharedItems containsSemiMixedTypes="0" containsString="0" containsNumber="1" containsInteger="1" minValue="10" maxValue="499"/>
    </cacheField>
    <cacheField name="Aging Bucket" numFmtId="0">
      <sharedItems count="5">
        <s v="60-90"/>
        <s v="91 &gt;"/>
        <s v="0–30"/>
        <s v="30-60"/>
        <s v="&gt; 91" u="1"/>
      </sharedItems>
    </cacheField>
  </cacheFields>
  <extLst>
    <ext xmlns:x14="http://schemas.microsoft.com/office/spreadsheetml/2009/9/main" uri="{725AE2AE-9491-48be-B2B4-4EB974FC3084}">
      <x14:pivotCacheDefinition pivotCacheId="138972193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s v="Invoice"/>
    <x v="0"/>
    <x v="0"/>
    <n v="29900"/>
    <n v="0"/>
    <n v="29900"/>
    <n v="64"/>
    <x v="0"/>
  </r>
  <r>
    <x v="1"/>
    <s v="Invoice Beginning Balance"/>
    <x v="1"/>
    <x v="1"/>
    <n v="23345"/>
    <n v="0"/>
    <n v="23345"/>
    <n v="429"/>
    <x v="1"/>
  </r>
  <r>
    <x v="1"/>
    <s v="Invoice"/>
    <x v="2"/>
    <x v="2"/>
    <n v="11960"/>
    <n v="5005"/>
    <n v="6955"/>
    <n v="10"/>
    <x v="2"/>
  </r>
  <r>
    <x v="2"/>
    <s v="Invoice Beginning Balance"/>
    <x v="3"/>
    <x v="3"/>
    <n v="8970"/>
    <n v="0"/>
    <n v="8970"/>
    <n v="69"/>
    <x v="0"/>
  </r>
  <r>
    <x v="2"/>
    <s v="Invoice"/>
    <x v="4"/>
    <x v="4"/>
    <n v="10062.5"/>
    <n v="0"/>
    <n v="10062.5"/>
    <n v="35"/>
    <x v="3"/>
  </r>
  <r>
    <x v="0"/>
    <s v="Invoice"/>
    <x v="5"/>
    <x v="5"/>
    <n v="5980"/>
    <n v="0"/>
    <n v="5980"/>
    <n v="160"/>
    <x v="1"/>
  </r>
  <r>
    <x v="0"/>
    <s v="Invoice Beginning Balance"/>
    <x v="6"/>
    <x v="6"/>
    <n v="145199"/>
    <n v="50830"/>
    <n v="94369"/>
    <n v="49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C1B3B5-D38D-4C92-823D-EE74561ADA10}" name="PivotTable1" cacheId="0" applyNumberFormats="0" applyBorderFormats="0" applyFontFormats="0" applyPatternFormats="0" applyAlignmentFormats="0" applyWidthHeightFormats="1" dataCaption="Values" updatedVersion="8" minRefreshableVersion="3" showDrill="0" useAutoFormatting="1" itemPrintTitles="1" createdVersion="8" indent="0" compact="0" compactData="0" multipleFieldFilters="0" chartFormat="23">
  <location ref="A3:H12" firstHeaderRow="1" firstDataRow="2" firstDataCol="3"/>
  <pivotFields count="9">
    <pivotField axis="axisRow" compact="0" outline="0" showAll="0" sortType="ascending" defaultSubtotal="0">
      <items count="3">
        <item x="0"/>
        <item x="1"/>
        <item x="2"/>
      </items>
    </pivotField>
    <pivotField compact="0" outline="0" showAll="0" defaultSubtotal="0"/>
    <pivotField name="Invoice Number" axis="axisRow" compact="0" outline="0" showAll="0" defaultSubtotal="0">
      <items count="7">
        <item x="0"/>
        <item x="1"/>
        <item x="2"/>
        <item x="3"/>
        <item x="4"/>
        <item x="5"/>
        <item x="6"/>
      </items>
    </pivotField>
    <pivotField axis="axisRow" compact="0" numFmtId="14" outline="0" showAll="0" defaultSubtotal="0">
      <items count="7">
        <item x="6"/>
        <item x="1"/>
        <item x="3"/>
        <item x="4"/>
        <item x="5"/>
        <item x="0"/>
        <item x="2"/>
      </items>
    </pivotField>
    <pivotField compact="0" outline="0" showAll="0" defaultSubtotal="0"/>
    <pivotField compact="0" outline="0" showAll="0" defaultSubtotal="0"/>
    <pivotField dataField="1" compact="0" outline="0" showAll="0" defaultSubtotal="0"/>
    <pivotField compact="0" numFmtId="3" outline="0" showAll="0" defaultSubtotal="0"/>
    <pivotField axis="axisCol" compact="0" outline="0" showAll="0" sortType="ascending" defaultSubtotal="0">
      <items count="5">
        <item m="1" x="4"/>
        <item x="2"/>
        <item x="3"/>
        <item x="0"/>
        <item x="1"/>
      </items>
    </pivotField>
  </pivotFields>
  <rowFields count="3">
    <field x="3"/>
    <field x="2"/>
    <field x="0"/>
  </rowFields>
  <rowItems count="8">
    <i>
      <x/>
      <x v="6"/>
      <x/>
    </i>
    <i>
      <x v="1"/>
      <x v="1"/>
      <x v="1"/>
    </i>
    <i>
      <x v="2"/>
      <x v="3"/>
      <x v="2"/>
    </i>
    <i>
      <x v="3"/>
      <x v="4"/>
      <x v="2"/>
    </i>
    <i>
      <x v="4"/>
      <x v="5"/>
      <x/>
    </i>
    <i>
      <x v="5"/>
      <x/>
      <x/>
    </i>
    <i>
      <x v="6"/>
      <x v="2"/>
      <x v="1"/>
    </i>
    <i t="grand">
      <x/>
    </i>
  </rowItems>
  <colFields count="1">
    <field x="8"/>
  </colFields>
  <colItems count="5">
    <i>
      <x v="1"/>
    </i>
    <i>
      <x v="2"/>
    </i>
    <i>
      <x v="3"/>
    </i>
    <i>
      <x v="4"/>
    </i>
    <i t="grand">
      <x/>
    </i>
  </colItems>
  <dataFields count="1">
    <dataField name="Amount" fld="6" baseField="0" baseItem="0" numFmtId="167"/>
  </dataFields>
  <formats count="118">
    <format dxfId="117">
      <pivotArea type="all" dataOnly="0" outline="0" fieldPosition="0"/>
    </format>
    <format dxfId="116">
      <pivotArea outline="0" collapsedLevelsAreSubtotals="1" fieldPosition="0"/>
    </format>
    <format dxfId="115">
      <pivotArea dataOnly="0" labelOnly="1" outline="0" fieldPosition="0">
        <references count="1">
          <reference field="0" count="0"/>
        </references>
      </pivotArea>
    </format>
    <format dxfId="114">
      <pivotArea dataOnly="0" labelOnly="1" outline="0" fieldPosition="0">
        <references count="1">
          <reference field="8" count="0"/>
        </references>
      </pivotArea>
    </format>
    <format dxfId="113">
      <pivotArea dataOnly="0" labelOnly="1" outline="0" fieldPosition="0">
        <references count="1">
          <reference field="8" count="0"/>
        </references>
      </pivotArea>
    </format>
    <format dxfId="112">
      <pivotArea outline="0" collapsedLevelsAreSubtotals="1" fieldPosition="0"/>
    </format>
    <format dxfId="111">
      <pivotArea outline="0" fieldPosition="0">
        <references count="1">
          <reference field="8" count="1" selected="0">
            <x v="0"/>
          </reference>
        </references>
      </pivotArea>
    </format>
    <format dxfId="110">
      <pivotArea dataOnly="0" labelOnly="1" outline="0" fieldPosition="0">
        <references count="1">
          <reference field="8" count="1">
            <x v="0"/>
          </reference>
        </references>
      </pivotArea>
    </format>
    <format dxfId="109">
      <pivotArea outline="0" fieldPosition="0">
        <references count="1">
          <reference field="8" count="1" selected="0">
            <x v="0"/>
          </reference>
        </references>
      </pivotArea>
    </format>
    <format dxfId="108">
      <pivotArea dataOnly="0" labelOnly="1" outline="0" fieldPosition="0">
        <references count="1">
          <reference field="8" count="1">
            <x v="0"/>
          </reference>
        </references>
      </pivotArea>
    </format>
    <format dxfId="107">
      <pivotArea outline="0" fieldPosition="0">
        <references count="1">
          <reference field="8" count="1" selected="0">
            <x v="3"/>
          </reference>
        </references>
      </pivotArea>
    </format>
    <format dxfId="106">
      <pivotArea dataOnly="0" labelOnly="1" outline="0" fieldPosition="0">
        <references count="1">
          <reference field="8" count="1">
            <x v="3"/>
          </reference>
        </references>
      </pivotArea>
    </format>
    <format dxfId="105">
      <pivotArea outline="0" fieldPosition="0">
        <references count="1">
          <reference field="8" count="1" selected="0">
            <x v="3"/>
          </reference>
        </references>
      </pivotArea>
    </format>
    <format dxfId="104">
      <pivotArea dataOnly="0" labelOnly="1" outline="0" fieldPosition="0">
        <references count="1">
          <reference field="8" count="1">
            <x v="3"/>
          </reference>
        </references>
      </pivotArea>
    </format>
    <format dxfId="103">
      <pivotArea outline="0" fieldPosition="0">
        <references count="1">
          <reference field="8" count="1" selected="0">
            <x v="1"/>
          </reference>
        </references>
      </pivotArea>
    </format>
    <format dxfId="102">
      <pivotArea dataOnly="0" labelOnly="1" outline="0" fieldPosition="0">
        <references count="1">
          <reference field="8" count="1">
            <x v="1"/>
          </reference>
        </references>
      </pivotArea>
    </format>
    <format dxfId="101">
      <pivotArea outline="0" fieldPosition="0">
        <references count="1">
          <reference field="8" count="1" selected="0">
            <x v="2"/>
          </reference>
        </references>
      </pivotArea>
    </format>
    <format dxfId="100">
      <pivotArea dataOnly="0" labelOnly="1" outline="0" fieldPosition="0">
        <references count="1">
          <reference field="8" count="1">
            <x v="2"/>
          </reference>
        </references>
      </pivotArea>
    </format>
    <format dxfId="99">
      <pivotArea grandCol="1" outline="0" collapsedLevelsAreSubtotals="1" fieldPosition="0"/>
    </format>
    <format dxfId="98">
      <pivotArea dataOnly="0" labelOnly="1" grandCol="1" outline="0" fieldPosition="0"/>
    </format>
    <format dxfId="97">
      <pivotArea field="2" type="button" dataOnly="0" labelOnly="1" outline="0" axis="axisRow" fieldPosition="1"/>
    </format>
    <format dxfId="96">
      <pivotArea dataOnly="0" labelOnly="1" outline="0" fieldPosition="0">
        <references count="3">
          <reference field="0" count="1" selected="0">
            <x v="0"/>
          </reference>
          <reference field="2" count="1">
            <x v="6"/>
          </reference>
          <reference field="3" count="1" selected="0">
            <x v="0"/>
          </reference>
        </references>
      </pivotArea>
    </format>
    <format dxfId="95">
      <pivotArea dataOnly="0" labelOnly="1" outline="0" fieldPosition="0">
        <references count="3">
          <reference field="0" count="1" selected="0">
            <x v="1"/>
          </reference>
          <reference field="2" count="1">
            <x v="1"/>
          </reference>
          <reference field="3" count="1" selected="0">
            <x v="1"/>
          </reference>
        </references>
      </pivotArea>
    </format>
    <format dxfId="94">
      <pivotArea dataOnly="0" labelOnly="1" outline="0" fieldPosition="0">
        <references count="3">
          <reference field="0" count="1" selected="0">
            <x v="2"/>
          </reference>
          <reference field="2" count="1">
            <x v="3"/>
          </reference>
          <reference field="3" count="1" selected="0">
            <x v="2"/>
          </reference>
        </references>
      </pivotArea>
    </format>
    <format dxfId="93">
      <pivotArea dataOnly="0" labelOnly="1" outline="0" fieldPosition="0">
        <references count="3">
          <reference field="0" count="1" selected="0">
            <x v="2"/>
          </reference>
          <reference field="2" count="1">
            <x v="4"/>
          </reference>
          <reference field="3" count="1" selected="0">
            <x v="3"/>
          </reference>
        </references>
      </pivotArea>
    </format>
    <format dxfId="92">
      <pivotArea dataOnly="0" labelOnly="1" outline="0" fieldPosition="0">
        <references count="3">
          <reference field="0" count="1" selected="0">
            <x v="0"/>
          </reference>
          <reference field="2" count="1">
            <x v="5"/>
          </reference>
          <reference field="3" count="1" selected="0">
            <x v="4"/>
          </reference>
        </references>
      </pivotArea>
    </format>
    <format dxfId="91">
      <pivotArea dataOnly="0" labelOnly="1" outline="0" fieldPosition="0">
        <references count="3">
          <reference field="0" count="1" selected="0">
            <x v="0"/>
          </reference>
          <reference field="2" count="1">
            <x v="0"/>
          </reference>
          <reference field="3" count="1" selected="0">
            <x v="5"/>
          </reference>
        </references>
      </pivotArea>
    </format>
    <format dxfId="90">
      <pivotArea dataOnly="0" labelOnly="1" outline="0" fieldPosition="0">
        <references count="3">
          <reference field="0" count="1" selected="0">
            <x v="1"/>
          </reference>
          <reference field="2" count="1">
            <x v="2"/>
          </reference>
          <reference field="3" count="1" selected="0">
            <x v="6"/>
          </reference>
        </references>
      </pivotArea>
    </format>
    <format dxfId="89">
      <pivotArea dataOnly="0" labelOnly="1" outline="0" fieldPosition="0">
        <references count="1">
          <reference field="8" count="3">
            <x v="1"/>
            <x v="2"/>
            <x v="3"/>
          </reference>
        </references>
      </pivotArea>
    </format>
    <format dxfId="88">
      <pivotArea dataOnly="0" labelOnly="1" grandCol="1" outline="0" fieldPosition="0"/>
    </format>
    <format dxfId="87">
      <pivotArea outline="0" fieldPosition="0">
        <references count="1">
          <reference field="8" count="1" selected="0">
            <x v="1"/>
          </reference>
        </references>
      </pivotArea>
    </format>
    <format dxfId="86">
      <pivotArea dataOnly="0" labelOnly="1" outline="0" fieldPosition="0">
        <references count="1">
          <reference field="8" count="1">
            <x v="1"/>
          </reference>
        </references>
      </pivotArea>
    </format>
    <format dxfId="85">
      <pivotArea outline="0" fieldPosition="0">
        <references count="4">
          <reference field="0" count="0" selected="0"/>
          <reference field="2" count="0" selected="0"/>
          <reference field="3" count="0" selected="0"/>
          <reference field="8" count="1" selected="0">
            <x v="2"/>
          </reference>
        </references>
      </pivotArea>
    </format>
    <format dxfId="84">
      <pivotArea outline="0" fieldPosition="0">
        <references count="4">
          <reference field="0" count="0" selected="0"/>
          <reference field="2" count="0" selected="0"/>
          <reference field="3" count="0" selected="0"/>
          <reference field="8" count="1" selected="0">
            <x v="3"/>
          </reference>
        </references>
      </pivotArea>
    </format>
    <format dxfId="83">
      <pivotArea outline="0" fieldPosition="0">
        <references count="4">
          <reference field="0" count="0" selected="0"/>
          <reference field="2" count="0" selected="0"/>
          <reference field="3" count="0" selected="0"/>
          <reference field="8" count="1" selected="0">
            <x v="4"/>
          </reference>
        </references>
      </pivotArea>
    </format>
    <format dxfId="82">
      <pivotArea field="3" grandCol="1" outline="0" axis="axisRow" fieldPosition="0">
        <references count="3">
          <reference field="0" count="0" selected="0"/>
          <reference field="2" count="0" selected="0"/>
          <reference field="3" count="0" selected="0"/>
        </references>
      </pivotArea>
    </format>
    <format dxfId="81">
      <pivotArea dataOnly="0" labelOnly="1" outline="0" fieldPosition="0">
        <references count="1">
          <reference field="3" count="0"/>
        </references>
      </pivotArea>
    </format>
    <format dxfId="80">
      <pivotArea dataOnly="0" labelOnly="1" outline="0" fieldPosition="0">
        <references count="2">
          <reference field="2" count="1">
            <x v="6"/>
          </reference>
          <reference field="3" count="1" selected="0">
            <x v="0"/>
          </reference>
        </references>
      </pivotArea>
    </format>
    <format dxfId="79">
      <pivotArea dataOnly="0" labelOnly="1" outline="0" fieldPosition="0">
        <references count="2">
          <reference field="2" count="1">
            <x v="1"/>
          </reference>
          <reference field="3" count="1" selected="0">
            <x v="1"/>
          </reference>
        </references>
      </pivotArea>
    </format>
    <format dxfId="78">
      <pivotArea dataOnly="0" labelOnly="1" outline="0" fieldPosition="0">
        <references count="2">
          <reference field="2" count="1">
            <x v="3"/>
          </reference>
          <reference field="3" count="1" selected="0">
            <x v="2"/>
          </reference>
        </references>
      </pivotArea>
    </format>
    <format dxfId="77">
      <pivotArea dataOnly="0" labelOnly="1" outline="0" fieldPosition="0">
        <references count="2">
          <reference field="2" count="1">
            <x v="4"/>
          </reference>
          <reference field="3" count="1" selected="0">
            <x v="3"/>
          </reference>
        </references>
      </pivotArea>
    </format>
    <format dxfId="76">
      <pivotArea dataOnly="0" labelOnly="1" outline="0" fieldPosition="0">
        <references count="2">
          <reference field="2" count="1">
            <x v="5"/>
          </reference>
          <reference field="3" count="1" selected="0">
            <x v="4"/>
          </reference>
        </references>
      </pivotArea>
    </format>
    <format dxfId="75">
      <pivotArea dataOnly="0" labelOnly="1" outline="0" fieldPosition="0">
        <references count="2">
          <reference field="2" count="1">
            <x v="0"/>
          </reference>
          <reference field="3" count="1" selected="0">
            <x v="5"/>
          </reference>
        </references>
      </pivotArea>
    </format>
    <format dxfId="74">
      <pivotArea dataOnly="0" labelOnly="1" outline="0" fieldPosition="0">
        <references count="2">
          <reference field="2" count="1">
            <x v="2"/>
          </reference>
          <reference field="3" count="1" selected="0">
            <x v="6"/>
          </reference>
        </references>
      </pivotArea>
    </format>
    <format dxfId="73">
      <pivotArea dataOnly="0" labelOnly="1" outline="0" fieldPosition="0">
        <references count="3">
          <reference field="0" count="1">
            <x v="0"/>
          </reference>
          <reference field="2" count="1" selected="0">
            <x v="6"/>
          </reference>
          <reference field="3" count="1" selected="0">
            <x v="0"/>
          </reference>
        </references>
      </pivotArea>
    </format>
    <format dxfId="72">
      <pivotArea dataOnly="0" labelOnly="1" outline="0" fieldPosition="0">
        <references count="3">
          <reference field="0" count="1">
            <x v="1"/>
          </reference>
          <reference field="2" count="1" selected="0">
            <x v="1"/>
          </reference>
          <reference field="3" count="1" selected="0">
            <x v="1"/>
          </reference>
        </references>
      </pivotArea>
    </format>
    <format dxfId="71">
      <pivotArea dataOnly="0" labelOnly="1" outline="0" fieldPosition="0">
        <references count="3">
          <reference field="0" count="1">
            <x v="2"/>
          </reference>
          <reference field="2" count="1" selected="0">
            <x v="3"/>
          </reference>
          <reference field="3" count="1" selected="0">
            <x v="2"/>
          </reference>
        </references>
      </pivotArea>
    </format>
    <format dxfId="70">
      <pivotArea dataOnly="0" labelOnly="1" outline="0" fieldPosition="0">
        <references count="3">
          <reference field="0" count="1">
            <x v="2"/>
          </reference>
          <reference field="2" count="1" selected="0">
            <x v="4"/>
          </reference>
          <reference field="3" count="1" selected="0">
            <x v="3"/>
          </reference>
        </references>
      </pivotArea>
    </format>
    <format dxfId="69">
      <pivotArea dataOnly="0" labelOnly="1" outline="0" fieldPosition="0">
        <references count="3">
          <reference field="0" count="1">
            <x v="0"/>
          </reference>
          <reference field="2" count="1" selected="0">
            <x v="5"/>
          </reference>
          <reference field="3" count="1" selected="0">
            <x v="4"/>
          </reference>
        </references>
      </pivotArea>
    </format>
    <format dxfId="68">
      <pivotArea dataOnly="0" labelOnly="1" outline="0" fieldPosition="0">
        <references count="3">
          <reference field="0" count="1">
            <x v="0"/>
          </reference>
          <reference field="2" count="1" selected="0">
            <x v="0"/>
          </reference>
          <reference field="3" count="1" selected="0">
            <x v="5"/>
          </reference>
        </references>
      </pivotArea>
    </format>
    <format dxfId="67">
      <pivotArea dataOnly="0" labelOnly="1" outline="0" fieldPosition="0">
        <references count="3">
          <reference field="0" count="1">
            <x v="1"/>
          </reference>
          <reference field="2" count="1" selected="0">
            <x v="2"/>
          </reference>
          <reference field="3" count="1" selected="0">
            <x v="6"/>
          </reference>
        </references>
      </pivotArea>
    </format>
    <format dxfId="66">
      <pivotArea dataOnly="0" labelOnly="1" outline="0" fieldPosition="0">
        <references count="1">
          <reference field="3" count="0"/>
        </references>
      </pivotArea>
    </format>
    <format dxfId="65">
      <pivotArea dataOnly="0" labelOnly="1" outline="0" fieldPosition="0">
        <references count="2">
          <reference field="2" count="1">
            <x v="6"/>
          </reference>
          <reference field="3" count="1" selected="0">
            <x v="0"/>
          </reference>
        </references>
      </pivotArea>
    </format>
    <format dxfId="64">
      <pivotArea dataOnly="0" labelOnly="1" outline="0" fieldPosition="0">
        <references count="2">
          <reference field="2" count="1">
            <x v="1"/>
          </reference>
          <reference field="3" count="1" selected="0">
            <x v="1"/>
          </reference>
        </references>
      </pivotArea>
    </format>
    <format dxfId="63">
      <pivotArea dataOnly="0" labelOnly="1" outline="0" fieldPosition="0">
        <references count="2">
          <reference field="2" count="1">
            <x v="3"/>
          </reference>
          <reference field="3" count="1" selected="0">
            <x v="2"/>
          </reference>
        </references>
      </pivotArea>
    </format>
    <format dxfId="62">
      <pivotArea dataOnly="0" labelOnly="1" outline="0" fieldPosition="0">
        <references count="2">
          <reference field="2" count="1">
            <x v="4"/>
          </reference>
          <reference field="3" count="1" selected="0">
            <x v="3"/>
          </reference>
        </references>
      </pivotArea>
    </format>
    <format dxfId="61">
      <pivotArea dataOnly="0" labelOnly="1" outline="0" fieldPosition="0">
        <references count="2">
          <reference field="2" count="1">
            <x v="5"/>
          </reference>
          <reference field="3" count="1" selected="0">
            <x v="4"/>
          </reference>
        </references>
      </pivotArea>
    </format>
    <format dxfId="60">
      <pivotArea dataOnly="0" labelOnly="1" outline="0" fieldPosition="0">
        <references count="2">
          <reference field="2" count="1">
            <x v="0"/>
          </reference>
          <reference field="3" count="1" selected="0">
            <x v="5"/>
          </reference>
        </references>
      </pivotArea>
    </format>
    <format dxfId="59">
      <pivotArea dataOnly="0" labelOnly="1" outline="0" fieldPosition="0">
        <references count="2">
          <reference field="2" count="1">
            <x v="2"/>
          </reference>
          <reference field="3" count="1" selected="0">
            <x v="6"/>
          </reference>
        </references>
      </pivotArea>
    </format>
    <format dxfId="58">
      <pivotArea dataOnly="0" labelOnly="1" outline="0" fieldPosition="0">
        <references count="3">
          <reference field="0" count="1">
            <x v="0"/>
          </reference>
          <reference field="2" count="1" selected="0">
            <x v="6"/>
          </reference>
          <reference field="3" count="1" selected="0">
            <x v="0"/>
          </reference>
        </references>
      </pivotArea>
    </format>
    <format dxfId="57">
      <pivotArea dataOnly="0" labelOnly="1" outline="0" fieldPosition="0">
        <references count="3">
          <reference field="0" count="1">
            <x v="1"/>
          </reference>
          <reference field="2" count="1" selected="0">
            <x v="1"/>
          </reference>
          <reference field="3" count="1" selected="0">
            <x v="1"/>
          </reference>
        </references>
      </pivotArea>
    </format>
    <format dxfId="56">
      <pivotArea dataOnly="0" labelOnly="1" outline="0" fieldPosition="0">
        <references count="3">
          <reference field="0" count="1">
            <x v="2"/>
          </reference>
          <reference field="2" count="1" selected="0">
            <x v="3"/>
          </reference>
          <reference field="3" count="1" selected="0">
            <x v="2"/>
          </reference>
        </references>
      </pivotArea>
    </format>
    <format dxfId="55">
      <pivotArea dataOnly="0" labelOnly="1" outline="0" fieldPosition="0">
        <references count="3">
          <reference field="0" count="1">
            <x v="2"/>
          </reference>
          <reference field="2" count="1" selected="0">
            <x v="4"/>
          </reference>
          <reference field="3" count="1" selected="0">
            <x v="3"/>
          </reference>
        </references>
      </pivotArea>
    </format>
    <format dxfId="54">
      <pivotArea dataOnly="0" labelOnly="1" outline="0" fieldPosition="0">
        <references count="3">
          <reference field="0" count="1">
            <x v="0"/>
          </reference>
          <reference field="2" count="1" selected="0">
            <x v="5"/>
          </reference>
          <reference field="3" count="1" selected="0">
            <x v="4"/>
          </reference>
        </references>
      </pivotArea>
    </format>
    <format dxfId="53">
      <pivotArea dataOnly="0" labelOnly="1" outline="0" fieldPosition="0">
        <references count="3">
          <reference field="0" count="1">
            <x v="0"/>
          </reference>
          <reference field="2" count="1" selected="0">
            <x v="0"/>
          </reference>
          <reference field="3" count="1" selected="0">
            <x v="5"/>
          </reference>
        </references>
      </pivotArea>
    </format>
    <format dxfId="52">
      <pivotArea dataOnly="0" labelOnly="1" outline="0" fieldPosition="0">
        <references count="3">
          <reference field="0" count="1">
            <x v="1"/>
          </reference>
          <reference field="2" count="1" selected="0">
            <x v="2"/>
          </reference>
          <reference field="3" count="1" selected="0">
            <x v="6"/>
          </reference>
        </references>
      </pivotArea>
    </format>
    <format dxfId="51">
      <pivotArea dataOnly="0" labelOnly="1" outline="0" fieldPosition="0">
        <references count="1">
          <reference field="3" count="0"/>
        </references>
      </pivotArea>
    </format>
    <format dxfId="50">
      <pivotArea dataOnly="0" labelOnly="1" outline="0" fieldPosition="0">
        <references count="2">
          <reference field="2" count="1">
            <x v="6"/>
          </reference>
          <reference field="3" count="1" selected="0">
            <x v="0"/>
          </reference>
        </references>
      </pivotArea>
    </format>
    <format dxfId="49">
      <pivotArea dataOnly="0" labelOnly="1" outline="0" fieldPosition="0">
        <references count="2">
          <reference field="2" count="1">
            <x v="1"/>
          </reference>
          <reference field="3" count="1" selected="0">
            <x v="1"/>
          </reference>
        </references>
      </pivotArea>
    </format>
    <format dxfId="48">
      <pivotArea dataOnly="0" labelOnly="1" outline="0" fieldPosition="0">
        <references count="2">
          <reference field="2" count="1">
            <x v="3"/>
          </reference>
          <reference field="3" count="1" selected="0">
            <x v="2"/>
          </reference>
        </references>
      </pivotArea>
    </format>
    <format dxfId="47">
      <pivotArea dataOnly="0" labelOnly="1" outline="0" fieldPosition="0">
        <references count="2">
          <reference field="2" count="1">
            <x v="4"/>
          </reference>
          <reference field="3" count="1" selected="0">
            <x v="3"/>
          </reference>
        </references>
      </pivotArea>
    </format>
    <format dxfId="46">
      <pivotArea dataOnly="0" labelOnly="1" outline="0" fieldPosition="0">
        <references count="2">
          <reference field="2" count="1">
            <x v="5"/>
          </reference>
          <reference field="3" count="1" selected="0">
            <x v="4"/>
          </reference>
        </references>
      </pivotArea>
    </format>
    <format dxfId="45">
      <pivotArea dataOnly="0" labelOnly="1" outline="0" fieldPosition="0">
        <references count="2">
          <reference field="2" count="1">
            <x v="0"/>
          </reference>
          <reference field="3" count="1" selected="0">
            <x v="5"/>
          </reference>
        </references>
      </pivotArea>
    </format>
    <format dxfId="44">
      <pivotArea dataOnly="0" labelOnly="1" outline="0" fieldPosition="0">
        <references count="2">
          <reference field="2" count="1">
            <x v="2"/>
          </reference>
          <reference field="3" count="1" selected="0">
            <x v="6"/>
          </reference>
        </references>
      </pivotArea>
    </format>
    <format dxfId="43">
      <pivotArea dataOnly="0" labelOnly="1" outline="0" fieldPosition="0">
        <references count="3">
          <reference field="0" count="1">
            <x v="0"/>
          </reference>
          <reference field="2" count="1" selected="0">
            <x v="6"/>
          </reference>
          <reference field="3" count="1" selected="0">
            <x v="0"/>
          </reference>
        </references>
      </pivotArea>
    </format>
    <format dxfId="42">
      <pivotArea dataOnly="0" labelOnly="1" outline="0" fieldPosition="0">
        <references count="3">
          <reference field="0" count="1">
            <x v="1"/>
          </reference>
          <reference field="2" count="1" selected="0">
            <x v="1"/>
          </reference>
          <reference field="3" count="1" selected="0">
            <x v="1"/>
          </reference>
        </references>
      </pivotArea>
    </format>
    <format dxfId="41">
      <pivotArea dataOnly="0" labelOnly="1" outline="0" fieldPosition="0">
        <references count="3">
          <reference field="0" count="1">
            <x v="2"/>
          </reference>
          <reference field="2" count="1" selected="0">
            <x v="3"/>
          </reference>
          <reference field="3" count="1" selected="0">
            <x v="2"/>
          </reference>
        </references>
      </pivotArea>
    </format>
    <format dxfId="40">
      <pivotArea dataOnly="0" labelOnly="1" outline="0" fieldPosition="0">
        <references count="3">
          <reference field="0" count="1">
            <x v="2"/>
          </reference>
          <reference field="2" count="1" selected="0">
            <x v="4"/>
          </reference>
          <reference field="3" count="1" selected="0">
            <x v="3"/>
          </reference>
        </references>
      </pivotArea>
    </format>
    <format dxfId="39">
      <pivotArea dataOnly="0" labelOnly="1" outline="0" fieldPosition="0">
        <references count="3">
          <reference field="0" count="1">
            <x v="0"/>
          </reference>
          <reference field="2" count="1" selected="0">
            <x v="5"/>
          </reference>
          <reference field="3" count="1" selected="0">
            <x v="4"/>
          </reference>
        </references>
      </pivotArea>
    </format>
    <format dxfId="38">
      <pivotArea dataOnly="0" labelOnly="1" outline="0" fieldPosition="0">
        <references count="3">
          <reference field="0" count="1">
            <x v="0"/>
          </reference>
          <reference field="2" count="1" selected="0">
            <x v="0"/>
          </reference>
          <reference field="3" count="1" selected="0">
            <x v="5"/>
          </reference>
        </references>
      </pivotArea>
    </format>
    <format dxfId="37">
      <pivotArea dataOnly="0" labelOnly="1" outline="0" fieldPosition="0">
        <references count="3">
          <reference field="0" count="1">
            <x v="1"/>
          </reference>
          <reference field="2" count="1" selected="0">
            <x v="2"/>
          </reference>
          <reference field="3" count="1" selected="0">
            <x v="6"/>
          </reference>
        </references>
      </pivotArea>
    </format>
    <format dxfId="36">
      <pivotArea type="all" dataOnly="0" outline="0" fieldPosition="0"/>
    </format>
    <format dxfId="35">
      <pivotArea outline="0" collapsedLevelsAreSubtotals="1" fieldPosition="0"/>
    </format>
    <format dxfId="34">
      <pivotArea type="origin" dataOnly="0" labelOnly="1" outline="0" fieldPosition="0"/>
    </format>
    <format dxfId="33">
      <pivotArea field="8" type="button" dataOnly="0" labelOnly="1" outline="0" axis="axisCol" fieldPosition="0"/>
    </format>
    <format dxfId="32">
      <pivotArea type="topRight" dataOnly="0" labelOnly="1" outline="0" fieldPosition="0"/>
    </format>
    <format dxfId="31">
      <pivotArea field="3" type="button" dataOnly="0" labelOnly="1" outline="0" axis="axisRow" fieldPosition="0"/>
    </format>
    <format dxfId="30">
      <pivotArea field="2" type="button" dataOnly="0" labelOnly="1" outline="0" axis="axisRow" fieldPosition="1"/>
    </format>
    <format dxfId="29">
      <pivotArea field="0" type="button" dataOnly="0" labelOnly="1" outline="0" axis="axisRow" fieldPosition="2"/>
    </format>
    <format dxfId="28">
      <pivotArea dataOnly="0" labelOnly="1" outline="0" fieldPosition="0">
        <references count="1">
          <reference field="3" count="0"/>
        </references>
      </pivotArea>
    </format>
    <format dxfId="27">
      <pivotArea dataOnly="0" labelOnly="1" grandRow="1" outline="0" fieldPosition="0"/>
    </format>
    <format dxfId="26">
      <pivotArea dataOnly="0" labelOnly="1" outline="0" fieldPosition="0">
        <references count="2">
          <reference field="2" count="1">
            <x v="6"/>
          </reference>
          <reference field="3" count="1" selected="0">
            <x v="0"/>
          </reference>
        </references>
      </pivotArea>
    </format>
    <format dxfId="25">
      <pivotArea dataOnly="0" labelOnly="1" outline="0" fieldPosition="0">
        <references count="2">
          <reference field="2" count="1">
            <x v="1"/>
          </reference>
          <reference field="3" count="1" selected="0">
            <x v="1"/>
          </reference>
        </references>
      </pivotArea>
    </format>
    <format dxfId="24">
      <pivotArea dataOnly="0" labelOnly="1" outline="0" fieldPosition="0">
        <references count="2">
          <reference field="2" count="1">
            <x v="3"/>
          </reference>
          <reference field="3" count="1" selected="0">
            <x v="2"/>
          </reference>
        </references>
      </pivotArea>
    </format>
    <format dxfId="23">
      <pivotArea dataOnly="0" labelOnly="1" outline="0" fieldPosition="0">
        <references count="2">
          <reference field="2" count="1">
            <x v="4"/>
          </reference>
          <reference field="3" count="1" selected="0">
            <x v="3"/>
          </reference>
        </references>
      </pivotArea>
    </format>
    <format dxfId="22">
      <pivotArea dataOnly="0" labelOnly="1" outline="0" fieldPosition="0">
        <references count="2">
          <reference field="2" count="1">
            <x v="5"/>
          </reference>
          <reference field="3" count="1" selected="0">
            <x v="4"/>
          </reference>
        </references>
      </pivotArea>
    </format>
    <format dxfId="21">
      <pivotArea dataOnly="0" labelOnly="1" outline="0" fieldPosition="0">
        <references count="2">
          <reference field="2" count="1">
            <x v="0"/>
          </reference>
          <reference field="3" count="1" selected="0">
            <x v="5"/>
          </reference>
        </references>
      </pivotArea>
    </format>
    <format dxfId="20">
      <pivotArea dataOnly="0" labelOnly="1" outline="0" fieldPosition="0">
        <references count="2">
          <reference field="2" count="1">
            <x v="2"/>
          </reference>
          <reference field="3" count="1" selected="0">
            <x v="6"/>
          </reference>
        </references>
      </pivotArea>
    </format>
    <format dxfId="19">
      <pivotArea dataOnly="0" labelOnly="1" outline="0" fieldPosition="0">
        <references count="3">
          <reference field="0" count="1">
            <x v="0"/>
          </reference>
          <reference field="2" count="1" selected="0">
            <x v="6"/>
          </reference>
          <reference field="3" count="1" selected="0">
            <x v="0"/>
          </reference>
        </references>
      </pivotArea>
    </format>
    <format dxfId="18">
      <pivotArea dataOnly="0" labelOnly="1" outline="0" fieldPosition="0">
        <references count="3">
          <reference field="0" count="1">
            <x v="1"/>
          </reference>
          <reference field="2" count="1" selected="0">
            <x v="1"/>
          </reference>
          <reference field="3" count="1" selected="0">
            <x v="1"/>
          </reference>
        </references>
      </pivotArea>
    </format>
    <format dxfId="17">
      <pivotArea dataOnly="0" labelOnly="1" outline="0" fieldPosition="0">
        <references count="3">
          <reference field="0" count="1">
            <x v="2"/>
          </reference>
          <reference field="2" count="1" selected="0">
            <x v="3"/>
          </reference>
          <reference field="3" count="1" selected="0">
            <x v="2"/>
          </reference>
        </references>
      </pivotArea>
    </format>
    <format dxfId="16">
      <pivotArea dataOnly="0" labelOnly="1" outline="0" fieldPosition="0">
        <references count="3">
          <reference field="0" count="1">
            <x v="2"/>
          </reference>
          <reference field="2" count="1" selected="0">
            <x v="4"/>
          </reference>
          <reference field="3" count="1" selected="0">
            <x v="3"/>
          </reference>
        </references>
      </pivotArea>
    </format>
    <format dxfId="15">
      <pivotArea dataOnly="0" labelOnly="1" outline="0" fieldPosition="0">
        <references count="3">
          <reference field="0" count="1">
            <x v="0"/>
          </reference>
          <reference field="2" count="1" selected="0">
            <x v="5"/>
          </reference>
          <reference field="3" count="1" selected="0">
            <x v="4"/>
          </reference>
        </references>
      </pivotArea>
    </format>
    <format dxfId="14">
      <pivotArea dataOnly="0" labelOnly="1" outline="0" fieldPosition="0">
        <references count="3">
          <reference field="0" count="1">
            <x v="0"/>
          </reference>
          <reference field="2" count="1" selected="0">
            <x v="0"/>
          </reference>
          <reference field="3" count="1" selected="0">
            <x v="5"/>
          </reference>
        </references>
      </pivotArea>
    </format>
    <format dxfId="13">
      <pivotArea dataOnly="0" labelOnly="1" outline="0" fieldPosition="0">
        <references count="3">
          <reference field="0" count="1">
            <x v="1"/>
          </reference>
          <reference field="2" count="1" selected="0">
            <x v="2"/>
          </reference>
          <reference field="3" count="1" selected="0">
            <x v="6"/>
          </reference>
        </references>
      </pivotArea>
    </format>
    <format dxfId="12">
      <pivotArea dataOnly="0" labelOnly="1" outline="0" fieldPosition="0">
        <references count="1">
          <reference field="8" count="0"/>
        </references>
      </pivotArea>
    </format>
    <format dxfId="11">
      <pivotArea dataOnly="0" labelOnly="1" grandCol="1" outline="0" fieldPosition="0"/>
    </format>
    <format dxfId="10">
      <pivotArea type="origin" dataOnly="0" labelOnly="1" outline="0" fieldPosition="0"/>
    </format>
    <format dxfId="9">
      <pivotArea field="8" type="button" dataOnly="0" labelOnly="1" outline="0" axis="axisCol" fieldPosition="0"/>
    </format>
    <format dxfId="8">
      <pivotArea type="topRight" dataOnly="0" labelOnly="1" outline="0" fieldPosition="0"/>
    </format>
    <format dxfId="7">
      <pivotArea field="3" type="button" dataOnly="0" labelOnly="1" outline="0" axis="axisRow" fieldPosition="0"/>
    </format>
    <format dxfId="6">
      <pivotArea field="2" type="button" dataOnly="0" labelOnly="1" outline="0" axis="axisRow" fieldPosition="1"/>
    </format>
    <format dxfId="5">
      <pivotArea field="0" type="button" dataOnly="0" labelOnly="1" outline="0" axis="axisRow" fieldPosition="2"/>
    </format>
    <format dxfId="4">
      <pivotArea dataOnly="0" labelOnly="1" outline="0" fieldPosition="0">
        <references count="1">
          <reference field="8" count="0"/>
        </references>
      </pivotArea>
    </format>
    <format dxfId="3">
      <pivotArea dataOnly="0" labelOnly="1" grandCol="1" outline="0" fieldPosition="0"/>
    </format>
    <format dxfId="2">
      <pivotArea grandCol="1" outline="0" collapsedLevelsAreSubtotals="1" fieldPosition="0"/>
    </format>
    <format dxfId="1">
      <pivotArea field="8" grandRow="1" outline="0" axis="axisCol" fieldPosition="0">
        <references count="1">
          <reference field="8" count="0" selected="0"/>
        </references>
      </pivotArea>
    </format>
    <format dxfId="0">
      <pivotArea dataOnly="0" labelOnly="1" grandRow="1" outline="0" fieldPosition="0"/>
    </format>
  </formats>
  <chartFormats count="7">
    <chartFormat chart="0" format="0" series="1">
      <pivotArea type="data" outline="0" fieldPosition="0">
        <references count="2">
          <reference field="4294967294" count="1" selected="0">
            <x v="0"/>
          </reference>
          <reference field="8" count="1" selected="0">
            <x v="0"/>
          </reference>
        </references>
      </pivotArea>
    </chartFormat>
    <chartFormat chart="0" format="2" series="1">
      <pivotArea type="data" outline="0" fieldPosition="0">
        <references count="2">
          <reference field="4294967294" count="1" selected="0">
            <x v="0"/>
          </reference>
          <reference field="8" count="1" selected="0">
            <x v="3"/>
          </reference>
        </references>
      </pivotArea>
    </chartFormat>
    <chartFormat chart="0" format="4" series="1">
      <pivotArea type="data" outline="0" fieldPosition="0">
        <references count="2">
          <reference field="4294967294" count="1" selected="0">
            <x v="0"/>
          </reference>
          <reference field="8" count="1" selected="0">
            <x v="1"/>
          </reference>
        </references>
      </pivotArea>
    </chartFormat>
    <chartFormat chart="0" format="6" series="1">
      <pivotArea type="data" outline="0" fieldPosition="0">
        <references count="2">
          <reference field="4294967294" count="1" selected="0">
            <x v="0"/>
          </reference>
          <reference field="8" count="1" selected="0">
            <x v="2"/>
          </reference>
        </references>
      </pivotArea>
    </chartFormat>
    <chartFormat chart="0" format="8" series="1">
      <pivotArea type="data" outline="0" fieldPosition="0">
        <references count="1">
          <reference field="4294967294" count="1" selected="0">
            <x v="0"/>
          </reference>
        </references>
      </pivotArea>
    </chartFormat>
    <chartFormat chart="0" format="10" series="1">
      <pivotArea type="data" outline="0" fieldPosition="0">
        <references count="3">
          <reference field="4294967294" count="1" selected="0">
            <x v="0"/>
          </reference>
          <reference field="3" count="1" selected="0">
            <x v="6"/>
          </reference>
          <reference field="8" count="1" selected="0">
            <x v="1"/>
          </reference>
        </references>
      </pivotArea>
    </chartFormat>
    <chartFormat chart="0" format="15" series="1">
      <pivotArea type="data" outline="0" fieldPosition="0">
        <references count="2">
          <reference field="4294967294" count="1" selected="0">
            <x v="0"/>
          </reference>
          <reference field="8" count="1" selected="0">
            <x v="4"/>
          </reference>
        </references>
      </pivotArea>
    </chartFormat>
  </chartFormats>
  <pivotTableStyleInfo name="PivotStyleLight21" showRowHeaders="0"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 xr10:uid="{2AFB28F4-092C-4FBF-873C-6B8022C771C4}" sourceName="Customer">
  <pivotTables>
    <pivotTable tabId="3" name="PivotTable1"/>
  </pivotTables>
  <data>
    <tabular pivotCacheId="1389721937">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xr10:uid="{B3C787B7-B073-4730-87CE-4C316C97677A}" cache="Slicer_Customer" caption="Custom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22254C4-738C-4786-B7D5-3ED868716235}" name="Table1" displayName="Table1" ref="A2:I9" totalsRowShown="0" headerRowDxfId="130" dataDxfId="128" headerRowBorderDxfId="129" tableBorderDxfId="127">
  <autoFilter ref="A2:I9" xr:uid="{622254C4-738C-4786-B7D5-3ED868716235}"/>
  <tableColumns count="9">
    <tableColumn id="1" xr3:uid="{976C6894-78A8-40C1-91EC-542F6D74A9E0}" name="Customer" dataDxfId="126"/>
    <tableColumn id="2" xr3:uid="{AD057624-CA42-4A5F-8749-F0A5926E6737}" name="Transaction Type" dataDxfId="125"/>
    <tableColumn id="3" xr3:uid="{98557329-2066-4E1B-BBEF-BAB14127B9BD}" name="Transaction Serial" dataDxfId="124" dataCellStyle="Comma"/>
    <tableColumn id="4" xr3:uid="{F6E74F62-F7FE-446A-AD12-25CA9C4DB46C}" name="Transaction Date" dataDxfId="123"/>
    <tableColumn id="5" xr3:uid="{4ADE5EFC-3AB3-4CB0-B12C-288594B83600}" name="Total" dataDxfId="122"/>
    <tableColumn id="6" xr3:uid="{04C42923-D342-4265-A757-4877CADFDA3B}" name="Paid Amount" dataDxfId="121"/>
    <tableColumn id="7" xr3:uid="{AA64B3E1-BCEF-46FB-B23E-F91D676FD1E2}" name="Remaining" dataDxfId="120">
      <calculatedColumnFormula>Table1[[#This Row],[Total]]-Table1[[#This Row],[Paid Amount]]</calculatedColumnFormula>
    </tableColumn>
    <tableColumn id="8" xr3:uid="{1F042062-3815-4758-AD50-54BAEDE7F4DA}" name="Aging DAY" dataDxfId="119" dataCellStyle="Comma">
      <calculatedColumnFormula>DATEDIF(D3,TODAY(),"D")</calculatedColumnFormula>
    </tableColumn>
    <tableColumn id="9" xr3:uid="{35BCF2F2-ACE1-41B1-BFF8-7910EE7E456F}" name="Aging Bucket" dataDxfId="118">
      <calculatedColumnFormula>IF(H3&lt;=30,"0–30", IF(H3&lt;=60,"30-60", IF(H3 &lt;=90, "60-90",  "91 &gt;")))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3B4F5-A319-488F-ADC5-E485B5311751}">
  <sheetPr>
    <pageSetUpPr fitToPage="1"/>
  </sheetPr>
  <dimension ref="A1:A93"/>
  <sheetViews>
    <sheetView showGridLines="0" topLeftCell="A70" workbookViewId="0">
      <selection activeCell="D86" sqref="D86"/>
    </sheetView>
  </sheetViews>
  <sheetFormatPr defaultRowHeight="14.4" x14ac:dyDescent="0.3"/>
  <cols>
    <col min="1" max="1" width="128.44140625" bestFit="1" customWidth="1"/>
  </cols>
  <sheetData>
    <row r="1" spans="1:1" ht="31.2" x14ac:dyDescent="0.3">
      <c r="A1" s="47" t="s">
        <v>21</v>
      </c>
    </row>
    <row r="3" spans="1:1" ht="23.4" x14ac:dyDescent="0.3">
      <c r="A3" s="48" t="s">
        <v>22</v>
      </c>
    </row>
    <row r="5" spans="1:1" x14ac:dyDescent="0.3">
      <c r="A5" t="s">
        <v>23</v>
      </c>
    </row>
    <row r="7" spans="1:1" x14ac:dyDescent="0.3">
      <c r="A7" t="s">
        <v>24</v>
      </c>
    </row>
    <row r="8" spans="1:1" x14ac:dyDescent="0.3">
      <c r="A8" s="49"/>
    </row>
    <row r="9" spans="1:1" x14ac:dyDescent="0.3">
      <c r="A9" s="49" t="s">
        <v>25</v>
      </c>
    </row>
    <row r="10" spans="1:1" x14ac:dyDescent="0.3">
      <c r="A10" s="49"/>
    </row>
    <row r="11" spans="1:1" x14ac:dyDescent="0.3">
      <c r="A11" s="49" t="s">
        <v>26</v>
      </c>
    </row>
    <row r="12" spans="1:1" x14ac:dyDescent="0.3">
      <c r="A12" s="49"/>
    </row>
    <row r="13" spans="1:1" x14ac:dyDescent="0.3">
      <c r="A13" s="49" t="s">
        <v>27</v>
      </c>
    </row>
    <row r="14" spans="1:1" x14ac:dyDescent="0.3">
      <c r="A14" s="49"/>
    </row>
    <row r="15" spans="1:1" x14ac:dyDescent="0.3">
      <c r="A15" s="49" t="s">
        <v>28</v>
      </c>
    </row>
    <row r="17" spans="1:1" x14ac:dyDescent="0.3">
      <c r="A17" t="s">
        <v>29</v>
      </c>
    </row>
    <row r="19" spans="1:1" ht="23.4" x14ac:dyDescent="0.3">
      <c r="A19" s="48" t="s">
        <v>30</v>
      </c>
    </row>
    <row r="21" spans="1:1" x14ac:dyDescent="0.3">
      <c r="A21" t="s">
        <v>31</v>
      </c>
    </row>
    <row r="22" spans="1:1" x14ac:dyDescent="0.3">
      <c r="A22" s="49"/>
    </row>
    <row r="23" spans="1:1" x14ac:dyDescent="0.3">
      <c r="A23" s="49" t="s">
        <v>32</v>
      </c>
    </row>
    <row r="24" spans="1:1" x14ac:dyDescent="0.3">
      <c r="A24" s="49"/>
    </row>
    <row r="25" spans="1:1" x14ac:dyDescent="0.3">
      <c r="A25" s="49" t="s">
        <v>33</v>
      </c>
    </row>
    <row r="26" spans="1:1" x14ac:dyDescent="0.3">
      <c r="A26" s="49"/>
    </row>
    <row r="27" spans="1:1" x14ac:dyDescent="0.3">
      <c r="A27" s="49" t="s">
        <v>34</v>
      </c>
    </row>
    <row r="28" spans="1:1" x14ac:dyDescent="0.3">
      <c r="A28" s="49"/>
    </row>
    <row r="29" spans="1:1" x14ac:dyDescent="0.3">
      <c r="A29" s="49" t="s">
        <v>35</v>
      </c>
    </row>
    <row r="31" spans="1:1" ht="23.4" x14ac:dyDescent="0.3">
      <c r="A31" s="48" t="s">
        <v>36</v>
      </c>
    </row>
    <row r="32" spans="1:1" x14ac:dyDescent="0.3">
      <c r="A32" s="49"/>
    </row>
    <row r="33" spans="1:1" x14ac:dyDescent="0.3">
      <c r="A33" s="51" t="s">
        <v>37</v>
      </c>
    </row>
    <row r="34" spans="1:1" x14ac:dyDescent="0.3">
      <c r="A34" s="49"/>
    </row>
    <row r="35" spans="1:1" x14ac:dyDescent="0.3">
      <c r="A35" s="51" t="s">
        <v>38</v>
      </c>
    </row>
    <row r="37" spans="1:1" ht="23.4" x14ac:dyDescent="0.3">
      <c r="A37" s="48" t="s">
        <v>39</v>
      </c>
    </row>
    <row r="38" spans="1:1" x14ac:dyDescent="0.3">
      <c r="A38" s="49"/>
    </row>
    <row r="39" spans="1:1" x14ac:dyDescent="0.3">
      <c r="A39" s="49" t="s">
        <v>40</v>
      </c>
    </row>
    <row r="40" spans="1:1" x14ac:dyDescent="0.3">
      <c r="A40" s="49"/>
    </row>
    <row r="41" spans="1:1" x14ac:dyDescent="0.3">
      <c r="A41" s="49" t="s">
        <v>41</v>
      </c>
    </row>
    <row r="42" spans="1:1" x14ac:dyDescent="0.3">
      <c r="A42" s="49"/>
    </row>
    <row r="43" spans="1:1" x14ac:dyDescent="0.3">
      <c r="A43" s="49" t="s">
        <v>42</v>
      </c>
    </row>
    <row r="44" spans="1:1" x14ac:dyDescent="0.3">
      <c r="A44" s="49"/>
    </row>
    <row r="45" spans="1:1" x14ac:dyDescent="0.3">
      <c r="A45" s="49" t="s">
        <v>43</v>
      </c>
    </row>
    <row r="46" spans="1:1" x14ac:dyDescent="0.3">
      <c r="A46" s="49"/>
    </row>
    <row r="47" spans="1:1" x14ac:dyDescent="0.3">
      <c r="A47" s="49" t="s">
        <v>44</v>
      </c>
    </row>
    <row r="48" spans="1:1" x14ac:dyDescent="0.3">
      <c r="A48" s="49"/>
    </row>
    <row r="49" spans="1:1" x14ac:dyDescent="0.3">
      <c r="A49" s="49" t="s">
        <v>45</v>
      </c>
    </row>
    <row r="50" spans="1:1" x14ac:dyDescent="0.3">
      <c r="A50" s="49"/>
    </row>
    <row r="51" spans="1:1" x14ac:dyDescent="0.3">
      <c r="A51" s="49" t="s">
        <v>46</v>
      </c>
    </row>
    <row r="52" spans="1:1" x14ac:dyDescent="0.3">
      <c r="A52" s="49"/>
    </row>
    <row r="53" spans="1:1" x14ac:dyDescent="0.3">
      <c r="A53" s="49" t="s">
        <v>47</v>
      </c>
    </row>
    <row r="55" spans="1:1" ht="23.4" x14ac:dyDescent="0.3">
      <c r="A55" s="48" t="s">
        <v>48</v>
      </c>
    </row>
    <row r="56" spans="1:1" x14ac:dyDescent="0.3">
      <c r="A56" s="49"/>
    </row>
    <row r="57" spans="1:1" x14ac:dyDescent="0.3">
      <c r="A57" s="49" t="s">
        <v>49</v>
      </c>
    </row>
    <row r="58" spans="1:1" x14ac:dyDescent="0.3">
      <c r="A58" s="49"/>
    </row>
    <row r="59" spans="1:1" x14ac:dyDescent="0.3">
      <c r="A59" s="49" t="s">
        <v>50</v>
      </c>
    </row>
    <row r="60" spans="1:1" x14ac:dyDescent="0.3">
      <c r="A60" s="49"/>
    </row>
    <row r="61" spans="1:1" x14ac:dyDescent="0.3">
      <c r="A61" s="49" t="s">
        <v>51</v>
      </c>
    </row>
    <row r="62" spans="1:1" x14ac:dyDescent="0.3">
      <c r="A62" s="49"/>
    </row>
    <row r="63" spans="1:1" x14ac:dyDescent="0.3">
      <c r="A63" s="49" t="s">
        <v>52</v>
      </c>
    </row>
    <row r="64" spans="1:1" x14ac:dyDescent="0.3">
      <c r="A64" s="49"/>
    </row>
    <row r="65" spans="1:1" x14ac:dyDescent="0.3">
      <c r="A65" s="49" t="s">
        <v>53</v>
      </c>
    </row>
    <row r="66" spans="1:1" x14ac:dyDescent="0.3">
      <c r="A66" s="49"/>
    </row>
    <row r="67" spans="1:1" x14ac:dyDescent="0.3">
      <c r="A67" s="49" t="s">
        <v>54</v>
      </c>
    </row>
    <row r="68" spans="1:1" x14ac:dyDescent="0.3">
      <c r="A68" s="49"/>
    </row>
    <row r="69" spans="1:1" x14ac:dyDescent="0.3">
      <c r="A69" s="49" t="s">
        <v>55</v>
      </c>
    </row>
    <row r="71" spans="1:1" ht="23.4" x14ac:dyDescent="0.3">
      <c r="A71" s="48" t="s">
        <v>56</v>
      </c>
    </row>
    <row r="73" spans="1:1" x14ac:dyDescent="0.3">
      <c r="A73" t="s">
        <v>57</v>
      </c>
    </row>
    <row r="75" spans="1:1" x14ac:dyDescent="0.3">
      <c r="A75" t="s">
        <v>58</v>
      </c>
    </row>
    <row r="76" spans="1:1" x14ac:dyDescent="0.3">
      <c r="A76" s="49"/>
    </row>
    <row r="77" spans="1:1" x14ac:dyDescent="0.3">
      <c r="A77" s="49" t="s">
        <v>59</v>
      </c>
    </row>
    <row r="78" spans="1:1" x14ac:dyDescent="0.3">
      <c r="A78" s="49"/>
    </row>
    <row r="79" spans="1:1" x14ac:dyDescent="0.3">
      <c r="A79" s="49" t="s">
        <v>60</v>
      </c>
    </row>
    <row r="80" spans="1:1" x14ac:dyDescent="0.3">
      <c r="A80" s="49"/>
    </row>
    <row r="81" spans="1:1" x14ac:dyDescent="0.3">
      <c r="A81" s="49" t="s">
        <v>61</v>
      </c>
    </row>
    <row r="82" spans="1:1" x14ac:dyDescent="0.3">
      <c r="A82" s="49"/>
    </row>
    <row r="83" spans="1:1" x14ac:dyDescent="0.3">
      <c r="A83" s="49" t="s">
        <v>62</v>
      </c>
    </row>
    <row r="85" spans="1:1" ht="23.4" x14ac:dyDescent="0.3">
      <c r="A85" s="48" t="s">
        <v>63</v>
      </c>
    </row>
    <row r="87" spans="1:1" x14ac:dyDescent="0.3">
      <c r="A87" s="50" t="s">
        <v>64</v>
      </c>
    </row>
    <row r="89" spans="1:1" x14ac:dyDescent="0.3">
      <c r="A89" t="s">
        <v>65</v>
      </c>
    </row>
    <row r="91" spans="1:1" ht="23.4" x14ac:dyDescent="0.3">
      <c r="A91" s="48" t="s">
        <v>66</v>
      </c>
    </row>
    <row r="93" spans="1:1" x14ac:dyDescent="0.3">
      <c r="A93" t="s">
        <v>67</v>
      </c>
    </row>
  </sheetData>
  <pageMargins left="0.25" right="0.25" top="0.25" bottom="0.25" header="0" footer="0"/>
  <pageSetup paperSize="9"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DBB87-863F-4242-A0FB-D6FDFF23ACEE}">
  <sheetPr>
    <pageSetUpPr fitToPage="1"/>
  </sheetPr>
  <dimension ref="A1:H38"/>
  <sheetViews>
    <sheetView showGridLines="0" zoomScaleNormal="100" zoomScaleSheetLayoutView="100" workbookViewId="0">
      <selection activeCell="G18" sqref="G18"/>
    </sheetView>
  </sheetViews>
  <sheetFormatPr defaultColWidth="11.77734375" defaultRowHeight="14.4" x14ac:dyDescent="0.3"/>
  <cols>
    <col min="1" max="1" width="19.88671875" customWidth="1"/>
    <col min="2" max="2" width="14.5546875" bestFit="1" customWidth="1"/>
    <col min="3" max="3" width="40.88671875" bestFit="1" customWidth="1"/>
    <col min="4" max="7" width="14.21875" bestFit="1" customWidth="1"/>
    <col min="8" max="8" width="12" bestFit="1" customWidth="1"/>
    <col min="9" max="10" width="22.5546875" bestFit="1" customWidth="1"/>
    <col min="11" max="11" width="12.5546875" bestFit="1" customWidth="1"/>
    <col min="12" max="12" width="27.33203125" bestFit="1" customWidth="1"/>
  </cols>
  <sheetData>
    <row r="1" spans="1:8" ht="10.199999999999999" customHeight="1" thickBot="1" x14ac:dyDescent="0.35"/>
    <row r="2" spans="1:8" ht="28.8" thickBot="1" x14ac:dyDescent="0.55000000000000004">
      <c r="A2" s="53" t="s">
        <v>18</v>
      </c>
      <c r="B2" s="54"/>
      <c r="C2" s="54"/>
      <c r="D2" s="54"/>
      <c r="E2" s="54"/>
      <c r="F2" s="54"/>
      <c r="G2" s="54"/>
      <c r="H2" s="55"/>
    </row>
    <row r="3" spans="1:8" ht="15" thickBot="1" x14ac:dyDescent="0.35">
      <c r="A3" s="16" t="s">
        <v>15</v>
      </c>
      <c r="B3" s="17"/>
      <c r="C3" s="18"/>
      <c r="D3" s="19" t="s">
        <v>11</v>
      </c>
      <c r="E3" s="16"/>
      <c r="F3" s="17"/>
      <c r="G3" s="17"/>
      <c r="H3" s="18"/>
    </row>
    <row r="4" spans="1:8" ht="15" thickBot="1" x14ac:dyDescent="0.35">
      <c r="A4" s="19" t="s">
        <v>4</v>
      </c>
      <c r="B4" s="37" t="s">
        <v>16</v>
      </c>
      <c r="C4" s="19" t="s">
        <v>0</v>
      </c>
      <c r="D4" s="21" t="s">
        <v>14</v>
      </c>
      <c r="E4" s="42" t="s">
        <v>19</v>
      </c>
      <c r="F4" s="42" t="s">
        <v>20</v>
      </c>
      <c r="G4" s="22" t="s">
        <v>17</v>
      </c>
      <c r="H4" s="38" t="s">
        <v>12</v>
      </c>
    </row>
    <row r="5" spans="1:8" ht="15" thickBot="1" x14ac:dyDescent="0.35">
      <c r="A5" s="34">
        <v>45565</v>
      </c>
      <c r="B5" s="36">
        <v>1</v>
      </c>
      <c r="C5" s="36" t="s">
        <v>1</v>
      </c>
      <c r="D5" s="14"/>
      <c r="E5" s="39"/>
      <c r="F5" s="40"/>
      <c r="G5" s="13">
        <v>94369</v>
      </c>
      <c r="H5" s="23">
        <v>94369</v>
      </c>
    </row>
    <row r="6" spans="1:8" ht="15" thickBot="1" x14ac:dyDescent="0.35">
      <c r="A6" s="41">
        <v>45635.680069444446</v>
      </c>
      <c r="B6" s="36">
        <v>323</v>
      </c>
      <c r="C6" s="36" t="s">
        <v>9</v>
      </c>
      <c r="D6" s="15"/>
      <c r="E6" s="45"/>
      <c r="F6" s="46"/>
      <c r="G6" s="44">
        <v>23345</v>
      </c>
      <c r="H6" s="43">
        <v>23345</v>
      </c>
    </row>
    <row r="7" spans="1:8" ht="15" thickBot="1" x14ac:dyDescent="0.35">
      <c r="A7" s="41">
        <v>45784.666898148149</v>
      </c>
      <c r="B7" s="36">
        <v>916</v>
      </c>
      <c r="C7" s="36" t="s">
        <v>10</v>
      </c>
      <c r="D7" s="15"/>
      <c r="E7" s="45"/>
      <c r="F7" s="46">
        <v>8970</v>
      </c>
      <c r="G7" s="44"/>
      <c r="H7" s="43">
        <v>8970</v>
      </c>
    </row>
    <row r="8" spans="1:8" ht="15" thickBot="1" x14ac:dyDescent="0.35">
      <c r="A8" s="41">
        <v>45797.436863425923</v>
      </c>
      <c r="B8" s="36">
        <v>968</v>
      </c>
      <c r="C8" s="36" t="s">
        <v>10</v>
      </c>
      <c r="D8" s="15"/>
      <c r="E8" s="45">
        <v>10062.5</v>
      </c>
      <c r="F8" s="46"/>
      <c r="G8" s="44"/>
      <c r="H8" s="43">
        <v>10062.5</v>
      </c>
    </row>
    <row r="9" spans="1:8" ht="15" thickBot="1" x14ac:dyDescent="0.35">
      <c r="A9" s="41">
        <v>45904.40315972222</v>
      </c>
      <c r="B9" s="36">
        <v>1344</v>
      </c>
      <c r="C9" s="36" t="s">
        <v>1</v>
      </c>
      <c r="D9" s="15"/>
      <c r="E9" s="45"/>
      <c r="F9" s="46"/>
      <c r="G9" s="44">
        <v>5980</v>
      </c>
      <c r="H9" s="43">
        <v>5980</v>
      </c>
    </row>
    <row r="10" spans="1:8" ht="15" thickBot="1" x14ac:dyDescent="0.35">
      <c r="A10" s="41">
        <v>46000</v>
      </c>
      <c r="B10" s="36">
        <v>321</v>
      </c>
      <c r="C10" s="36" t="s">
        <v>1</v>
      </c>
      <c r="D10" s="15"/>
      <c r="E10" s="45"/>
      <c r="F10" s="46">
        <v>29900</v>
      </c>
      <c r="G10" s="44"/>
      <c r="H10" s="43">
        <v>29900</v>
      </c>
    </row>
    <row r="11" spans="1:8" ht="15" thickBot="1" x14ac:dyDescent="0.35">
      <c r="A11" s="35">
        <v>46054.385451388887</v>
      </c>
      <c r="B11" s="36">
        <v>625</v>
      </c>
      <c r="C11" s="36" t="s">
        <v>9</v>
      </c>
      <c r="D11" s="15">
        <v>6955</v>
      </c>
      <c r="E11" s="45"/>
      <c r="F11" s="46"/>
      <c r="G11" s="44"/>
      <c r="H11" s="24">
        <v>6955</v>
      </c>
    </row>
    <row r="12" spans="1:8" ht="15" thickBot="1" x14ac:dyDescent="0.35">
      <c r="A12" s="27" t="s">
        <v>12</v>
      </c>
      <c r="B12" s="17"/>
      <c r="C12" s="18"/>
      <c r="D12" s="26">
        <v>6955</v>
      </c>
      <c r="E12" s="28">
        <v>10062.5</v>
      </c>
      <c r="F12" s="28">
        <v>38870</v>
      </c>
      <c r="G12" s="28">
        <v>123694</v>
      </c>
      <c r="H12" s="25">
        <v>179581.5</v>
      </c>
    </row>
    <row r="13" spans="1:8" x14ac:dyDescent="0.3">
      <c r="A13" s="20"/>
      <c r="B13" s="29"/>
      <c r="C13" s="29"/>
      <c r="D13" s="29"/>
      <c r="E13" s="29"/>
      <c r="F13" s="29"/>
      <c r="G13" s="29"/>
      <c r="H13" s="30"/>
    </row>
    <row r="14" spans="1:8" x14ac:dyDescent="0.3">
      <c r="A14" s="20"/>
      <c r="B14" s="29"/>
      <c r="C14" s="29"/>
      <c r="D14" s="29"/>
      <c r="E14" s="29"/>
      <c r="F14" s="29"/>
      <c r="G14" s="29"/>
      <c r="H14" s="30"/>
    </row>
    <row r="15" spans="1:8" x14ac:dyDescent="0.3">
      <c r="A15" s="20"/>
      <c r="B15" s="29"/>
      <c r="C15" s="29"/>
      <c r="D15" s="29"/>
      <c r="E15" s="29"/>
      <c r="F15" s="29"/>
      <c r="G15" s="29"/>
      <c r="H15" s="30"/>
    </row>
    <row r="16" spans="1:8" x14ac:dyDescent="0.3">
      <c r="A16" s="20"/>
      <c r="B16" s="29"/>
      <c r="C16" s="29"/>
      <c r="D16" s="29"/>
      <c r="E16" s="29"/>
      <c r="F16" s="29"/>
      <c r="G16" s="29"/>
      <c r="H16" s="30"/>
    </row>
    <row r="17" spans="1:8" x14ac:dyDescent="0.3">
      <c r="A17" s="20"/>
      <c r="B17" s="29"/>
      <c r="C17" s="29"/>
      <c r="D17" s="29"/>
      <c r="E17" s="29"/>
      <c r="F17" s="29"/>
      <c r="G17" s="29"/>
      <c r="H17" s="30"/>
    </row>
    <row r="18" spans="1:8" x14ac:dyDescent="0.3">
      <c r="A18" s="20"/>
      <c r="B18" s="29"/>
      <c r="C18" s="29"/>
      <c r="D18" s="29"/>
      <c r="E18" s="29"/>
      <c r="F18" s="29"/>
      <c r="G18" s="29"/>
      <c r="H18" s="30"/>
    </row>
    <row r="19" spans="1:8" x14ac:dyDescent="0.3">
      <c r="A19" s="20"/>
      <c r="B19" s="29"/>
      <c r="C19" s="29"/>
      <c r="D19" s="29"/>
      <c r="E19" s="29"/>
      <c r="F19" s="29"/>
      <c r="G19" s="29"/>
      <c r="H19" s="30"/>
    </row>
    <row r="20" spans="1:8" x14ac:dyDescent="0.3">
      <c r="A20" s="20"/>
      <c r="B20" s="29"/>
      <c r="C20" s="29"/>
      <c r="D20" s="29"/>
      <c r="E20" s="29"/>
      <c r="F20" s="29"/>
      <c r="G20" s="29"/>
      <c r="H20" s="30"/>
    </row>
    <row r="21" spans="1:8" x14ac:dyDescent="0.3">
      <c r="A21" s="20"/>
      <c r="B21" s="29"/>
      <c r="C21" s="29"/>
      <c r="D21" s="29"/>
      <c r="E21" s="29"/>
      <c r="F21" s="29"/>
      <c r="G21" s="29"/>
      <c r="H21" s="30"/>
    </row>
    <row r="22" spans="1:8" x14ac:dyDescent="0.3">
      <c r="A22" s="20"/>
      <c r="B22" s="29"/>
      <c r="C22" s="29"/>
      <c r="D22" s="29"/>
      <c r="E22" s="29"/>
      <c r="F22" s="29"/>
      <c r="G22" s="29"/>
      <c r="H22" s="30"/>
    </row>
    <row r="23" spans="1:8" x14ac:dyDescent="0.3">
      <c r="A23" s="20"/>
      <c r="B23" s="29"/>
      <c r="C23" s="29"/>
      <c r="D23" s="29"/>
      <c r="E23" s="29"/>
      <c r="F23" s="29"/>
      <c r="G23" s="29"/>
      <c r="H23" s="30"/>
    </row>
    <row r="24" spans="1:8" x14ac:dyDescent="0.3">
      <c r="A24" s="20"/>
      <c r="B24" s="29"/>
      <c r="C24" s="29"/>
      <c r="D24" s="29"/>
      <c r="E24" s="29"/>
      <c r="F24" s="29"/>
      <c r="G24" s="29"/>
      <c r="H24" s="30"/>
    </row>
    <row r="25" spans="1:8" x14ac:dyDescent="0.3">
      <c r="A25" s="20"/>
      <c r="B25" s="29"/>
      <c r="C25" s="29"/>
      <c r="D25" s="29"/>
      <c r="E25" s="29"/>
      <c r="F25" s="29"/>
      <c r="G25" s="29"/>
      <c r="H25" s="30"/>
    </row>
    <row r="26" spans="1:8" x14ac:dyDescent="0.3">
      <c r="A26" s="20"/>
      <c r="B26" s="29"/>
      <c r="C26" s="29"/>
      <c r="D26" s="29"/>
      <c r="E26" s="29"/>
      <c r="F26" s="29"/>
      <c r="G26" s="29"/>
      <c r="H26" s="30"/>
    </row>
    <row r="27" spans="1:8" x14ac:dyDescent="0.3">
      <c r="A27" s="20"/>
      <c r="B27" s="29"/>
      <c r="C27" s="29"/>
      <c r="D27" s="29"/>
      <c r="E27" s="29"/>
      <c r="F27" s="29"/>
      <c r="G27" s="29"/>
      <c r="H27" s="30"/>
    </row>
    <row r="28" spans="1:8" x14ac:dyDescent="0.3">
      <c r="A28" s="20"/>
      <c r="B28" s="29"/>
      <c r="C28" s="29"/>
      <c r="D28" s="29"/>
      <c r="E28" s="29"/>
      <c r="F28" s="29"/>
      <c r="G28" s="29"/>
      <c r="H28" s="30"/>
    </row>
    <row r="29" spans="1:8" x14ac:dyDescent="0.3">
      <c r="A29" s="20"/>
      <c r="B29" s="29"/>
      <c r="C29" s="29"/>
      <c r="D29" s="29"/>
      <c r="E29" s="29"/>
      <c r="F29" s="29"/>
      <c r="G29" s="29"/>
      <c r="H29" s="30"/>
    </row>
    <row r="30" spans="1:8" x14ac:dyDescent="0.3">
      <c r="A30" s="20"/>
      <c r="B30" s="29"/>
      <c r="C30" s="29"/>
      <c r="D30" s="29"/>
      <c r="E30" s="29"/>
      <c r="F30" s="29"/>
      <c r="G30" s="29"/>
      <c r="H30" s="30"/>
    </row>
    <row r="31" spans="1:8" x14ac:dyDescent="0.3">
      <c r="A31" s="20"/>
      <c r="B31" s="29"/>
      <c r="C31" s="29"/>
      <c r="D31" s="29"/>
      <c r="E31" s="29"/>
      <c r="F31" s="29"/>
      <c r="G31" s="29"/>
      <c r="H31" s="30"/>
    </row>
    <row r="32" spans="1:8" x14ac:dyDescent="0.3">
      <c r="A32" s="20"/>
      <c r="B32" s="29"/>
      <c r="C32" s="29"/>
      <c r="D32" s="29"/>
      <c r="E32" s="29"/>
      <c r="F32" s="29"/>
      <c r="G32" s="29"/>
      <c r="H32" s="30"/>
    </row>
    <row r="33" spans="1:8" x14ac:dyDescent="0.3">
      <c r="A33" s="20"/>
      <c r="B33" s="29"/>
      <c r="C33" s="29"/>
      <c r="D33" s="29"/>
      <c r="E33" s="29"/>
      <c r="F33" s="29"/>
      <c r="G33" s="29"/>
      <c r="H33" s="30"/>
    </row>
    <row r="34" spans="1:8" x14ac:dyDescent="0.3">
      <c r="A34" s="20"/>
      <c r="B34" s="29"/>
      <c r="C34" s="29"/>
      <c r="D34" s="29"/>
      <c r="E34" s="29"/>
      <c r="F34" s="29"/>
      <c r="G34" s="29"/>
      <c r="H34" s="30"/>
    </row>
    <row r="35" spans="1:8" x14ac:dyDescent="0.3">
      <c r="A35" s="20"/>
      <c r="B35" s="29"/>
      <c r="C35" s="29"/>
      <c r="D35" s="29"/>
      <c r="E35" s="29"/>
      <c r="F35" s="29"/>
      <c r="G35" s="29"/>
      <c r="H35" s="30"/>
    </row>
    <row r="36" spans="1:8" x14ac:dyDescent="0.3">
      <c r="A36" s="20"/>
      <c r="B36" s="29"/>
      <c r="C36" s="29"/>
      <c r="D36" s="29"/>
      <c r="E36" s="29"/>
      <c r="F36" s="29"/>
      <c r="G36" s="29"/>
      <c r="H36" s="30"/>
    </row>
    <row r="37" spans="1:8" x14ac:dyDescent="0.3">
      <c r="A37" s="20"/>
      <c r="B37" s="29"/>
      <c r="C37" s="29"/>
      <c r="D37" s="29"/>
      <c r="E37" s="29"/>
      <c r="F37" s="29"/>
      <c r="G37" s="29"/>
      <c r="H37" s="30"/>
    </row>
    <row r="38" spans="1:8" ht="15" thickBot="1" x14ac:dyDescent="0.35">
      <c r="A38" s="31"/>
      <c r="B38" s="32"/>
      <c r="C38" s="32"/>
      <c r="D38" s="32"/>
      <c r="E38" s="32"/>
      <c r="F38" s="32"/>
      <c r="G38" s="32"/>
      <c r="H38" s="33"/>
    </row>
  </sheetData>
  <mergeCells count="1">
    <mergeCell ref="A2:H2"/>
  </mergeCells>
  <pageMargins left="0.25" right="0.25" top="0.25" bottom="0.25" header="0" footer="0"/>
  <pageSetup paperSize="9" scale="85" fitToHeight="0" orientation="landscape" r:id="rId2"/>
  <colBreaks count="1" manualBreakCount="1">
    <brk id="3" max="1048575" man="1"/>
  </colBreaks>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8C390-9962-4A7B-AE73-F0D2FEC68F10}">
  <sheetPr>
    <pageSetUpPr fitToPage="1"/>
  </sheetPr>
  <dimension ref="A1:I21"/>
  <sheetViews>
    <sheetView showGridLines="0" tabSelected="1" workbookViewId="0">
      <selection activeCell="I4" sqref="I4"/>
    </sheetView>
  </sheetViews>
  <sheetFormatPr defaultRowHeight="14.4" x14ac:dyDescent="0.3"/>
  <cols>
    <col min="1" max="1" width="41" bestFit="1" customWidth="1"/>
    <col min="2" max="2" width="21.21875" bestFit="1" customWidth="1"/>
    <col min="3" max="3" width="19.88671875" bestFit="1" customWidth="1"/>
    <col min="4" max="4" width="18.88671875" bestFit="1" customWidth="1"/>
    <col min="5" max="5" width="8" bestFit="1" customWidth="1"/>
    <col min="6" max="6" width="14.88671875" bestFit="1" customWidth="1"/>
    <col min="7" max="7" width="12.88671875" bestFit="1" customWidth="1"/>
    <col min="8" max="8" width="13.44140625" bestFit="1" customWidth="1"/>
    <col min="9" max="9" width="15.33203125" bestFit="1" customWidth="1"/>
    <col min="10" max="10" width="8" bestFit="1" customWidth="1"/>
    <col min="12" max="12" width="9.6640625" bestFit="1" customWidth="1"/>
    <col min="13" max="13" width="11.21875" bestFit="1" customWidth="1"/>
    <col min="14" max="14" width="11.88671875" bestFit="1" customWidth="1"/>
    <col min="16" max="16" width="11.21875" bestFit="1" customWidth="1"/>
    <col min="17" max="17" width="12.88671875" bestFit="1" customWidth="1"/>
    <col min="18" max="18" width="11.77734375" bestFit="1" customWidth="1"/>
    <col min="19" max="19" width="12.88671875" bestFit="1" customWidth="1"/>
    <col min="20" max="20" width="9.33203125" bestFit="1" customWidth="1"/>
    <col min="21" max="21" width="9" bestFit="1" customWidth="1"/>
  </cols>
  <sheetData>
    <row r="1" spans="1:9" x14ac:dyDescent="0.3">
      <c r="D1" s="1"/>
    </row>
    <row r="2" spans="1:9" x14ac:dyDescent="0.3">
      <c r="A2" s="3" t="s">
        <v>0</v>
      </c>
      <c r="B2" s="4" t="s">
        <v>2</v>
      </c>
      <c r="C2" s="3" t="s">
        <v>3</v>
      </c>
      <c r="D2" s="3" t="s">
        <v>4</v>
      </c>
      <c r="E2" s="3" t="s">
        <v>5</v>
      </c>
      <c r="F2" s="3" t="s">
        <v>6</v>
      </c>
      <c r="G2" s="3" t="s">
        <v>7</v>
      </c>
      <c r="H2" s="5" t="s">
        <v>13</v>
      </c>
      <c r="I2" s="5" t="s">
        <v>11</v>
      </c>
    </row>
    <row r="3" spans="1:9" x14ac:dyDescent="0.3">
      <c r="A3" s="8" t="s">
        <v>1</v>
      </c>
      <c r="B3" s="9" t="s">
        <v>8</v>
      </c>
      <c r="C3" s="6">
        <v>321</v>
      </c>
      <c r="D3" s="52">
        <v>46053</v>
      </c>
      <c r="E3" s="10">
        <v>29900</v>
      </c>
      <c r="F3" s="10">
        <v>0</v>
      </c>
      <c r="G3" s="10">
        <f>Table1[[#This Row],[Total]]-Table1[[#This Row],[Paid Amount]]</f>
        <v>29900</v>
      </c>
      <c r="H3" s="11">
        <f t="shared" ref="H3:H9" ca="1" si="0">DATEDIF(D3,TODAY(),"D")</f>
        <v>206</v>
      </c>
      <c r="I3" s="12" t="str">
        <f ca="1">IF(H3&lt;=30,"0–30", IF(H3&lt;=60,"30-60", IF(H3 &lt;=90, "60-90",  "91 &gt;")))</f>
        <v>91 &gt;</v>
      </c>
    </row>
    <row r="4" spans="1:9" x14ac:dyDescent="0.3">
      <c r="A4" s="8" t="s">
        <v>9</v>
      </c>
      <c r="B4" s="9" t="s">
        <v>8</v>
      </c>
      <c r="C4" s="6">
        <v>323</v>
      </c>
      <c r="D4" s="52">
        <v>46081</v>
      </c>
      <c r="E4" s="10">
        <v>23345</v>
      </c>
      <c r="F4" s="10">
        <v>0</v>
      </c>
      <c r="G4" s="10">
        <f>Table1[[#This Row],[Total]]-Table1[[#This Row],[Paid Amount]]</f>
        <v>23345</v>
      </c>
      <c r="H4" s="11">
        <f t="shared" ca="1" si="0"/>
        <v>178</v>
      </c>
      <c r="I4" s="12" t="str">
        <f t="shared" ref="I4:I9" ca="1" si="1">IF(H4&lt;=30,"0–30", IF(H4&lt;=60,"30-60", IF(H4 &lt;=90, "60-90",  "91 &gt;")))</f>
        <v>91 &gt;</v>
      </c>
    </row>
    <row r="5" spans="1:9" x14ac:dyDescent="0.3">
      <c r="A5" s="8" t="s">
        <v>9</v>
      </c>
      <c r="B5" s="9" t="s">
        <v>8</v>
      </c>
      <c r="C5" s="6">
        <v>625</v>
      </c>
      <c r="D5" s="52">
        <v>46112</v>
      </c>
      <c r="E5" s="10">
        <v>11960</v>
      </c>
      <c r="F5" s="10">
        <v>5005</v>
      </c>
      <c r="G5" s="10">
        <f>Table1[[#This Row],[Total]]-Table1[[#This Row],[Paid Amount]]</f>
        <v>6955</v>
      </c>
      <c r="H5" s="11">
        <f t="shared" ca="1" si="0"/>
        <v>147</v>
      </c>
      <c r="I5" s="12" t="str">
        <f t="shared" ca="1" si="1"/>
        <v>91 &gt;</v>
      </c>
    </row>
    <row r="6" spans="1:9" x14ac:dyDescent="0.3">
      <c r="A6" s="8" t="s">
        <v>10</v>
      </c>
      <c r="B6" s="9" t="s">
        <v>8</v>
      </c>
      <c r="C6" s="6">
        <v>916</v>
      </c>
      <c r="D6" s="52">
        <v>46142</v>
      </c>
      <c r="E6" s="10">
        <v>8970</v>
      </c>
      <c r="F6" s="10">
        <v>0</v>
      </c>
      <c r="G6" s="10">
        <f>Table1[[#This Row],[Total]]-Table1[[#This Row],[Paid Amount]]</f>
        <v>8970</v>
      </c>
      <c r="H6" s="11">
        <f t="shared" ca="1" si="0"/>
        <v>117</v>
      </c>
      <c r="I6" s="12" t="str">
        <f t="shared" ca="1" si="1"/>
        <v>91 &gt;</v>
      </c>
    </row>
    <row r="7" spans="1:9" x14ac:dyDescent="0.3">
      <c r="A7" s="8" t="s">
        <v>10</v>
      </c>
      <c r="B7" s="9" t="s">
        <v>8</v>
      </c>
      <c r="C7" s="7">
        <v>968</v>
      </c>
      <c r="D7" s="52">
        <v>46173</v>
      </c>
      <c r="E7" s="10">
        <v>10062.5</v>
      </c>
      <c r="F7" s="10">
        <v>0</v>
      </c>
      <c r="G7" s="10">
        <f>Table1[[#This Row],[Total]]-Table1[[#This Row],[Paid Amount]]</f>
        <v>10062.5</v>
      </c>
      <c r="H7" s="11">
        <f t="shared" ca="1" si="0"/>
        <v>86</v>
      </c>
      <c r="I7" s="12" t="str">
        <f t="shared" ca="1" si="1"/>
        <v>60-90</v>
      </c>
    </row>
    <row r="8" spans="1:9" x14ac:dyDescent="0.3">
      <c r="A8" s="8" t="s">
        <v>1</v>
      </c>
      <c r="B8" s="9" t="s">
        <v>8</v>
      </c>
      <c r="C8" s="7">
        <v>1344</v>
      </c>
      <c r="D8" s="52">
        <v>46203</v>
      </c>
      <c r="E8" s="10">
        <v>5980</v>
      </c>
      <c r="F8" s="10">
        <v>0</v>
      </c>
      <c r="G8" s="10">
        <f>Table1[[#This Row],[Total]]-Table1[[#This Row],[Paid Amount]]</f>
        <v>5980</v>
      </c>
      <c r="H8" s="11">
        <f t="shared" ca="1" si="0"/>
        <v>56</v>
      </c>
      <c r="I8" s="12" t="str">
        <f t="shared" ca="1" si="1"/>
        <v>30-60</v>
      </c>
    </row>
    <row r="9" spans="1:9" x14ac:dyDescent="0.3">
      <c r="A9" s="8" t="s">
        <v>1</v>
      </c>
      <c r="B9" s="9" t="s">
        <v>8</v>
      </c>
      <c r="C9" s="7">
        <v>1</v>
      </c>
      <c r="D9" s="52">
        <v>46234</v>
      </c>
      <c r="E9" s="10">
        <v>145199</v>
      </c>
      <c r="F9" s="10">
        <v>50830</v>
      </c>
      <c r="G9" s="10">
        <f>Table1[[#This Row],[Total]]-Table1[[#This Row],[Paid Amount]]</f>
        <v>94369</v>
      </c>
      <c r="H9" s="11">
        <f t="shared" ca="1" si="0"/>
        <v>25</v>
      </c>
      <c r="I9" s="12" t="str">
        <f t="shared" ca="1" si="1"/>
        <v>0–30</v>
      </c>
    </row>
    <row r="15" spans="1:9" x14ac:dyDescent="0.3">
      <c r="D15" s="2"/>
    </row>
    <row r="16" spans="1:9" x14ac:dyDescent="0.3">
      <c r="D16" s="2"/>
    </row>
    <row r="17" spans="4:4" x14ac:dyDescent="0.3">
      <c r="D17" s="2"/>
    </row>
    <row r="18" spans="4:4" x14ac:dyDescent="0.3">
      <c r="D18" s="2"/>
    </row>
    <row r="19" spans="4:4" ht="14.4" customHeight="1" x14ac:dyDescent="0.3">
      <c r="D19" s="2"/>
    </row>
    <row r="20" spans="4:4" x14ac:dyDescent="0.3">
      <c r="D20" s="2"/>
    </row>
    <row r="21" spans="4:4" x14ac:dyDescent="0.3">
      <c r="D21" s="2"/>
    </row>
  </sheetData>
  <pageMargins left="0.25" right="0.25" top="0.25" bottom="0.25" header="0" footer="0"/>
  <pageSetup paperSize="9" scale="86" fitToHeight="0" orientation="landscape"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48F2F6AF-6452-4550-9020-490F3A0DC27D}">
  <ds:schemaRefs/>
</ds:datastoreItem>
</file>

<file path=customXml/itemProps2.xml><?xml version="1.0" encoding="utf-8"?>
<ds:datastoreItem xmlns:ds="http://schemas.openxmlformats.org/officeDocument/2006/customXml" ds:itemID="{A6EB52E3-C766-4831-9FD5-12B87682AAA6}">
  <ds:schemaRefs/>
</ds:datastoreItem>
</file>

<file path=customXml/itemProps3.xml><?xml version="1.0" encoding="utf-8"?>
<ds:datastoreItem xmlns:ds="http://schemas.openxmlformats.org/officeDocument/2006/customXml" ds:itemID="{09447BA5-4E11-46CD-A0FF-E081DE71432B}">
  <ds:schemaRefs/>
</ds:datastoreItem>
</file>

<file path=customXml/itemProps4.xml><?xml version="1.0" encoding="utf-8"?>
<ds:datastoreItem xmlns:ds="http://schemas.openxmlformats.org/officeDocument/2006/customXml" ds:itemID="{5BB3B369-9572-41D8-822C-3899934D4B50}">
  <ds:schemaRefs/>
</ds:datastoreItem>
</file>

<file path=customXml/itemProps5.xml><?xml version="1.0" encoding="utf-8"?>
<ds:datastoreItem xmlns:ds="http://schemas.openxmlformats.org/officeDocument/2006/customXml" ds:itemID="{80A1C96D-254A-46B0-B2FA-2AC6A49AA48C}">
  <ds:schemaRefs/>
</ds:datastoreItem>
</file>

<file path=customXml/itemProps6.xml><?xml version="1.0" encoding="utf-8"?>
<ds:datastoreItem xmlns:ds="http://schemas.openxmlformats.org/officeDocument/2006/customXml" ds:itemID="{E362C9AB-3FA3-49C7-BE52-A9D3B78B13C6}">
  <ds:schemaRefs/>
</ds:datastoreItem>
</file>

<file path=customXml/itemProps7.xml><?xml version="1.0" encoding="utf-8"?>
<ds:datastoreItem xmlns:ds="http://schemas.openxmlformats.org/officeDocument/2006/customXml" ds:itemID="{BCFAAB61-3EDB-4100-BB04-3A9A94D950CD}">
  <ds:schemaRefs/>
</ds:datastoreItem>
</file>

<file path=customXml/itemProps8.xml><?xml version="1.0" encoding="utf-8"?>
<ds:datastoreItem xmlns:ds="http://schemas.openxmlformats.org/officeDocument/2006/customXml" ds:itemID="{D75DD4E7-7D0F-4482-9263-B7D4F16BB707}">
  <ds:schemaRefs/>
</ds:datastoreItem>
</file>

<file path=customXml/itemProps9.xml><?xml version="1.0" encoding="utf-8"?>
<ds:datastoreItem xmlns:ds="http://schemas.openxmlformats.org/officeDocument/2006/customXml" ds:itemID="{83148A26-E783-4A66-9894-F606942F270B}">
  <ds:schemaRefs/>
</ds:datastoreItem>
</file>

<file path=customXml/itemProps10.xml><?xml version="1.0" encoding="utf-8"?>
<ds:datastoreItem xmlns:ds="http://schemas.openxmlformats.org/officeDocument/2006/customXml" ds:itemID="{3734F6A1-3994-4C01-ACA2-F1C2743BBF2C}">
  <ds:schemaRefs/>
</ds:datastoreItem>
</file>

<file path=customXml/itemProps11.xml><?xml version="1.0" encoding="utf-8"?>
<ds:datastoreItem xmlns:ds="http://schemas.openxmlformats.org/officeDocument/2006/customXml" ds:itemID="{B036D46F-10F0-4963-A4CE-E979D42533F2}">
  <ds:schemaRefs/>
</ds:datastoreItem>
</file>

<file path=customXml/itemProps12.xml><?xml version="1.0" encoding="utf-8"?>
<ds:datastoreItem xmlns:ds="http://schemas.openxmlformats.org/officeDocument/2006/customXml" ds:itemID="{0D75A40C-2BFD-44ED-A11A-C75246071160}">
  <ds:schemaRefs/>
</ds:datastoreItem>
</file>

<file path=customXml/itemProps13.xml><?xml version="1.0" encoding="utf-8"?>
<ds:datastoreItem xmlns:ds="http://schemas.openxmlformats.org/officeDocument/2006/customXml" ds:itemID="{4F61E74E-BAF8-4AEF-A5D8-725030853470}">
  <ds:schemaRefs/>
</ds:datastoreItem>
</file>

<file path=customXml/itemProps14.xml><?xml version="1.0" encoding="utf-8"?>
<ds:datastoreItem xmlns:ds="http://schemas.openxmlformats.org/officeDocument/2006/customXml" ds:itemID="{EC5D2ADE-E3BE-420C-B051-7C88557A3235}">
  <ds:schemaRefs/>
</ds:datastoreItem>
</file>

<file path=customXml/itemProps15.xml><?xml version="1.0" encoding="utf-8"?>
<ds:datastoreItem xmlns:ds="http://schemas.openxmlformats.org/officeDocument/2006/customXml" ds:itemID="{4494AFE6-1D6D-4BA4-AC64-7E68CFF5FD0A}">
  <ds:schemaRefs/>
</ds:datastoreItem>
</file>

<file path=customXml/itemProps16.xml><?xml version="1.0" encoding="utf-8"?>
<ds:datastoreItem xmlns:ds="http://schemas.openxmlformats.org/officeDocument/2006/customXml" ds:itemID="{E37ADB19-C37D-4064-9106-DB82325C85B5}">
  <ds:schemaRefs/>
</ds:datastoreItem>
</file>

<file path=customXml/itemProps17.xml><?xml version="1.0" encoding="utf-8"?>
<ds:datastoreItem xmlns:ds="http://schemas.openxmlformats.org/officeDocument/2006/customXml" ds:itemID="{23C7C4AB-D8B2-4959-A5C2-62D997F70BF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Intro</vt:lpstr>
      <vt:lpstr>Dash Board</vt:lpstr>
      <vt:lpstr>Aging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Anas Haidary</dc:creator>
  <cp:lastModifiedBy>Anas Haidary</cp:lastModifiedBy>
  <cp:lastPrinted>2026-08-24T12:54:36Z</cp:lastPrinted>
  <dcterms:created xsi:type="dcterms:W3CDTF">2026-02-11T07:03:52Z</dcterms:created>
  <dcterms:modified xsi:type="dcterms:W3CDTF">2026-08-25T09:32:15Z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XVersion">
    <vt:lpwstr>24.2.12.0</vt:lpwstr>
  </property>
</Properties>
</file>